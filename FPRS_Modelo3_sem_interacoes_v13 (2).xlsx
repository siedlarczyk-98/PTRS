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tive\Desktop\"/>
    </mc:Choice>
  </mc:AlternateContent>
  <xr:revisionPtr revIDLastSave="0" documentId="8_{85877E4A-EA26-4933-9DBE-4BEE364AAE5C}" xr6:coauthVersionLast="47" xr6:coauthVersionMax="47" xr10:uidLastSave="{00000000-0000-0000-0000-000000000000}"/>
  <bookViews>
    <workbookView xWindow="22932" yWindow="-108" windowWidth="23256" windowHeight="12456" activeTab="6" xr2:uid="{00000000-000D-0000-FFFF-FFFF00000000}"/>
  </bookViews>
  <sheets>
    <sheet name="Calculadora_FPRS" sheetId="1" r:id="rId1"/>
    <sheet name="Base_Fixa" sheetId="2" r:id="rId2"/>
    <sheet name="Parameters" sheetId="3" r:id="rId3"/>
    <sheet name="Alias_Map" sheetId="4" r:id="rId4"/>
    <sheet name="Interacoes_desconsiderada" sheetId="5" r:id="rId5"/>
    <sheet name="Regras_e_Referencias" sheetId="6" r:id="rId6"/>
    <sheet name="Exemplo_teste" sheetId="7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7" l="1"/>
  <c r="B11" i="7" s="1"/>
  <c r="B8" i="7"/>
  <c r="B7" i="7"/>
  <c r="C7" i="7" s="1"/>
  <c r="B6" i="7"/>
  <c r="B5" i="7"/>
  <c r="C5" i="7" s="1"/>
  <c r="B4" i="7"/>
  <c r="B3" i="7"/>
  <c r="C3" i="7" s="1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K37" i="1"/>
  <c r="J37" i="1"/>
  <c r="I37" i="1"/>
  <c r="H37" i="1"/>
  <c r="G37" i="1"/>
  <c r="F37" i="1"/>
  <c r="E37" i="1"/>
  <c r="D37" i="1"/>
  <c r="C37" i="1"/>
  <c r="B37" i="1"/>
  <c r="K36" i="1"/>
  <c r="J36" i="1"/>
  <c r="I36" i="1"/>
  <c r="H36" i="1"/>
  <c r="G36" i="1"/>
  <c r="F36" i="1"/>
  <c r="E36" i="1"/>
  <c r="D36" i="1"/>
  <c r="C36" i="1"/>
  <c r="B36" i="1"/>
  <c r="K35" i="1"/>
  <c r="J35" i="1"/>
  <c r="I35" i="1"/>
  <c r="H35" i="1"/>
  <c r="G35" i="1"/>
  <c r="F35" i="1"/>
  <c r="E35" i="1"/>
  <c r="D35" i="1"/>
  <c r="C35" i="1"/>
  <c r="B35" i="1"/>
  <c r="K34" i="1"/>
  <c r="J34" i="1"/>
  <c r="I34" i="1"/>
  <c r="H34" i="1"/>
  <c r="G34" i="1"/>
  <c r="F34" i="1"/>
  <c r="E34" i="1"/>
  <c r="D34" i="1"/>
  <c r="C34" i="1"/>
  <c r="B34" i="1"/>
  <c r="K33" i="1"/>
  <c r="J33" i="1"/>
  <c r="I33" i="1"/>
  <c r="H33" i="1"/>
  <c r="G33" i="1"/>
  <c r="F33" i="1"/>
  <c r="E33" i="1"/>
  <c r="D33" i="1"/>
  <c r="C33" i="1"/>
  <c r="B33" i="1"/>
  <c r="K32" i="1"/>
  <c r="J32" i="1"/>
  <c r="I32" i="1"/>
  <c r="H32" i="1"/>
  <c r="G32" i="1"/>
  <c r="F32" i="1"/>
  <c r="E32" i="1"/>
  <c r="D32" i="1"/>
  <c r="C32" i="1"/>
  <c r="B32" i="1"/>
  <c r="K31" i="1"/>
  <c r="J31" i="1"/>
  <c r="I31" i="1"/>
  <c r="H31" i="1"/>
  <c r="G31" i="1"/>
  <c r="F31" i="1"/>
  <c r="E31" i="1"/>
  <c r="D31" i="1"/>
  <c r="C31" i="1"/>
  <c r="B31" i="1"/>
  <c r="K30" i="1"/>
  <c r="J30" i="1"/>
  <c r="I30" i="1"/>
  <c r="H30" i="1"/>
  <c r="G30" i="1"/>
  <c r="F30" i="1"/>
  <c r="E30" i="1"/>
  <c r="D30" i="1"/>
  <c r="C30" i="1"/>
  <c r="B30" i="1"/>
  <c r="K29" i="1"/>
  <c r="J29" i="1"/>
  <c r="I29" i="1"/>
  <c r="H29" i="1"/>
  <c r="G29" i="1"/>
  <c r="F29" i="1"/>
  <c r="E29" i="1"/>
  <c r="D29" i="1"/>
  <c r="C29" i="1"/>
  <c r="B29" i="1"/>
  <c r="K28" i="1"/>
  <c r="J28" i="1"/>
  <c r="I28" i="1"/>
  <c r="H28" i="1"/>
  <c r="G28" i="1"/>
  <c r="F28" i="1"/>
  <c r="E28" i="1"/>
  <c r="D28" i="1"/>
  <c r="C28" i="1"/>
  <c r="B28" i="1"/>
  <c r="K27" i="1"/>
  <c r="J27" i="1"/>
  <c r="I27" i="1"/>
  <c r="H27" i="1"/>
  <c r="G27" i="1"/>
  <c r="F27" i="1"/>
  <c r="E27" i="1"/>
  <c r="D27" i="1"/>
  <c r="C27" i="1"/>
  <c r="B27" i="1"/>
  <c r="K26" i="1"/>
  <c r="J26" i="1"/>
  <c r="I26" i="1"/>
  <c r="H26" i="1"/>
  <c r="G26" i="1"/>
  <c r="F26" i="1"/>
  <c r="E26" i="1"/>
  <c r="D26" i="1"/>
  <c r="C26" i="1"/>
  <c r="B26" i="1"/>
  <c r="K25" i="1"/>
  <c r="J25" i="1"/>
  <c r="I25" i="1"/>
  <c r="H25" i="1"/>
  <c r="G25" i="1"/>
  <c r="F25" i="1"/>
  <c r="E25" i="1"/>
  <c r="D25" i="1"/>
  <c r="C25" i="1"/>
  <c r="B25" i="1"/>
  <c r="K24" i="1"/>
  <c r="J24" i="1"/>
  <c r="I24" i="1"/>
  <c r="H24" i="1"/>
  <c r="G24" i="1"/>
  <c r="F24" i="1"/>
  <c r="E24" i="1"/>
  <c r="D24" i="1"/>
  <c r="C24" i="1"/>
  <c r="B24" i="1"/>
  <c r="K23" i="1"/>
  <c r="J23" i="1"/>
  <c r="I23" i="1"/>
  <c r="H23" i="1"/>
  <c r="G23" i="1"/>
  <c r="F23" i="1"/>
  <c r="E23" i="1"/>
  <c r="D23" i="1"/>
  <c r="C23" i="1"/>
  <c r="B23" i="1"/>
  <c r="K22" i="1"/>
  <c r="J22" i="1"/>
  <c r="I22" i="1"/>
  <c r="H22" i="1"/>
  <c r="G22" i="1"/>
  <c r="F22" i="1"/>
  <c r="E22" i="1"/>
  <c r="D22" i="1"/>
  <c r="C22" i="1"/>
  <c r="B22" i="1"/>
  <c r="K21" i="1"/>
  <c r="J21" i="1"/>
  <c r="I21" i="1"/>
  <c r="H21" i="1"/>
  <c r="G21" i="1"/>
  <c r="F21" i="1"/>
  <c r="E21" i="1"/>
  <c r="D21" i="1"/>
  <c r="C21" i="1"/>
  <c r="B21" i="1"/>
  <c r="K20" i="1"/>
  <c r="J20" i="1"/>
  <c r="I20" i="1"/>
  <c r="H20" i="1"/>
  <c r="G20" i="1"/>
  <c r="F20" i="1"/>
  <c r="E20" i="1"/>
  <c r="D20" i="1"/>
  <c r="C20" i="1"/>
  <c r="B20" i="1"/>
  <c r="K19" i="1"/>
  <c r="J19" i="1"/>
  <c r="I19" i="1"/>
  <c r="H19" i="1"/>
  <c r="G19" i="1"/>
  <c r="F19" i="1"/>
  <c r="E19" i="1"/>
  <c r="D19" i="1"/>
  <c r="C19" i="1"/>
  <c r="B19" i="1"/>
  <c r="K18" i="1"/>
  <c r="J18" i="1"/>
  <c r="I18" i="1"/>
  <c r="H18" i="1"/>
  <c r="G18" i="1"/>
  <c r="F18" i="1"/>
  <c r="E18" i="1"/>
  <c r="D18" i="1"/>
  <c r="C18" i="1"/>
  <c r="B18" i="1"/>
  <c r="K17" i="1"/>
  <c r="J17" i="1"/>
  <c r="I17" i="1"/>
  <c r="H17" i="1"/>
  <c r="G17" i="1"/>
  <c r="F17" i="1"/>
  <c r="E17" i="1"/>
  <c r="D17" i="1"/>
  <c r="C17" i="1"/>
  <c r="B17" i="1"/>
  <c r="K16" i="1"/>
  <c r="J16" i="1"/>
  <c r="I16" i="1"/>
  <c r="H16" i="1"/>
  <c r="G16" i="1"/>
  <c r="F16" i="1"/>
  <c r="E16" i="1"/>
  <c r="D16" i="1"/>
  <c r="C16" i="1"/>
  <c r="B16" i="1"/>
  <c r="K15" i="1"/>
  <c r="J15" i="1"/>
  <c r="I15" i="1"/>
  <c r="H15" i="1"/>
  <c r="G15" i="1"/>
  <c r="F15" i="1"/>
  <c r="E15" i="1"/>
  <c r="D15" i="1"/>
  <c r="C15" i="1"/>
  <c r="B15" i="1"/>
  <c r="K14" i="1"/>
  <c r="J14" i="1"/>
  <c r="I14" i="1"/>
  <c r="H14" i="1"/>
  <c r="G14" i="1"/>
  <c r="F14" i="1"/>
  <c r="E14" i="1"/>
  <c r="D14" i="1"/>
  <c r="C14" i="1"/>
  <c r="B14" i="1"/>
  <c r="K13" i="1"/>
  <c r="J13" i="1"/>
  <c r="I13" i="1"/>
  <c r="E5" i="1" s="1"/>
  <c r="H13" i="1"/>
  <c r="G13" i="1"/>
  <c r="F13" i="1"/>
  <c r="E13" i="1"/>
  <c r="D13" i="1"/>
  <c r="C13" i="1"/>
  <c r="B13" i="1"/>
  <c r="B8" i="1"/>
  <c r="E11" i="1" s="1"/>
  <c r="E6" i="1"/>
  <c r="B5" i="1"/>
  <c r="E4" i="1"/>
  <c r="F3" i="7" l="1"/>
  <c r="E3" i="7"/>
  <c r="D3" i="7"/>
  <c r="G3" i="7"/>
  <c r="F7" i="7"/>
  <c r="E7" i="7"/>
  <c r="D7" i="7"/>
  <c r="G7" i="7"/>
  <c r="H7" i="7" s="1"/>
  <c r="F5" i="7"/>
  <c r="E5" i="7"/>
  <c r="D5" i="7"/>
  <c r="I5" i="7" s="1"/>
  <c r="G5" i="7"/>
  <c r="H5" i="7" s="1"/>
  <c r="J5" i="7" s="1"/>
  <c r="K5" i="7" s="1"/>
  <c r="E8" i="1"/>
  <c r="H3" i="7"/>
  <c r="C4" i="7"/>
  <c r="C6" i="7"/>
  <c r="C8" i="7"/>
  <c r="B9" i="1"/>
  <c r="E7" i="1" s="1"/>
  <c r="G4" i="7" l="1"/>
  <c r="H4" i="7" s="1"/>
  <c r="F4" i="7"/>
  <c r="E4" i="7"/>
  <c r="D4" i="7"/>
  <c r="I4" i="7" s="1"/>
  <c r="I7" i="7"/>
  <c r="J7" i="7" s="1"/>
  <c r="K7" i="7" s="1"/>
  <c r="G6" i="7"/>
  <c r="H6" i="7" s="1"/>
  <c r="F6" i="7"/>
  <c r="E6" i="7"/>
  <c r="D6" i="7"/>
  <c r="I6" i="7" s="1"/>
  <c r="I3" i="7"/>
  <c r="E10" i="1"/>
  <c r="E9" i="1"/>
  <c r="G8" i="7"/>
  <c r="H8" i="7" s="1"/>
  <c r="F8" i="7"/>
  <c r="E8" i="7"/>
  <c r="D8" i="7"/>
  <c r="I8" i="7" s="1"/>
  <c r="B13" i="7" l="1"/>
  <c r="J8" i="7"/>
  <c r="K8" i="7" s="1"/>
  <c r="J6" i="7"/>
  <c r="K6" i="7" s="1"/>
  <c r="J4" i="7"/>
  <c r="K4" i="7" s="1"/>
  <c r="J3" i="7"/>
  <c r="K3" i="7" s="1"/>
  <c r="B12" i="7"/>
  <c r="B14" i="7" s="1"/>
</calcChain>
</file>

<file path=xl/sharedStrings.xml><?xml version="1.0" encoding="utf-8"?>
<sst xmlns="http://schemas.openxmlformats.org/spreadsheetml/2006/main" count="4458" uniqueCount="824">
  <si>
    <t>Functional Pharmacotherapy Risk Score (FPRS) – Modelo 3 sem interações medicamentosas</t>
  </si>
  <si>
    <t>Campo</t>
  </si>
  <si>
    <t>Entrada</t>
  </si>
  <si>
    <t>Componente do escore</t>
  </si>
  <si>
    <t>Valor</t>
  </si>
  <si>
    <t>Regra operacional</t>
  </si>
  <si>
    <t>ID do paciente</t>
  </si>
  <si>
    <t>Carga anticolinérgica/sedativa</t>
  </si>
  <si>
    <t>Baixa=1; moderada=2; alta=3; se dupla propriedade, usar maior valor.</t>
  </si>
  <si>
    <t>Data da avaliação</t>
  </si>
  <si>
    <t>PIM/Beers adicional</t>
  </si>
  <si>
    <t>Somar 0,5 por PIM não pontuado anteriormente como AC/sedativo.</t>
  </si>
  <si>
    <t>Idade</t>
  </si>
  <si>
    <t>Ponto de corte para alto risco</t>
  </si>
  <si>
    <t>Se FPRS final &gt; 1,5: alto risco e necessidade de revisão da farmacoterapia.</t>
  </si>
  <si>
    <t>Observação clínica</t>
  </si>
  <si>
    <t>Número de medicamentos</t>
  </si>
  <si>
    <t>5–9 medicamentos=0,5; ≥10 medicamentos=1.</t>
  </si>
  <si>
    <t>Número total de medicamentos</t>
  </si>
  <si>
    <t>FPRS final</t>
  </si>
  <si>
    <t>Soma: afinidade AC/sedativa + Beers adicional + polifarmácia.</t>
  </si>
  <si>
    <t>Pontuação por número de medicamentos</t>
  </si>
  <si>
    <t>Categoria operacional</t>
  </si>
  <si>
    <t>Classificação provisória para triagem clínica.</t>
  </si>
  <si>
    <t>Alerta clínico</t>
  </si>
  <si>
    <t>Mensagem operacional para decisão de revisão farmacoterapêutica.</t>
  </si>
  <si>
    <t>Lista de medicamentos do paciente (máximo de 25; um medicamento por linha)</t>
  </si>
  <si>
    <t>Regra de escore zero</t>
  </si>
  <si>
    <t>≤4 medicamentos + ausência de PIM + ausência de carga AC/sedativa = FPRS 0.</t>
  </si>
  <si>
    <t>Medicamento informado pelo médico</t>
  </si>
  <si>
    <t>Medicamento normalizado</t>
  </si>
  <si>
    <t>Encontrado na base?</t>
  </si>
  <si>
    <t>PIM/Beers</t>
  </si>
  <si>
    <t>Afinidade AC</t>
  </si>
  <si>
    <t>Afinidade sedativa</t>
  </si>
  <si>
    <t>Peso afinidade (maior AC/sed)</t>
  </si>
  <si>
    <t>Peso afinidade contado uma vez</t>
  </si>
  <si>
    <t>PIM adicional</t>
  </si>
  <si>
    <t>Contribuição total por medicamento</t>
  </si>
  <si>
    <t>Observação</t>
  </si>
  <si>
    <t>Medicamento_normalizado</t>
  </si>
  <si>
    <t>Classe/observação</t>
  </si>
  <si>
    <t>PIM_Beers_2023</t>
  </si>
  <si>
    <t>AC</t>
  </si>
  <si>
    <t>Afinidade_AC</t>
  </si>
  <si>
    <t>Sedativo</t>
  </si>
  <si>
    <t>Afinidade_sedativa</t>
  </si>
  <si>
    <t>Peso_afinidade_final</t>
  </si>
  <si>
    <t>Fonte/justificativa</t>
  </si>
  <si>
    <t>Fonte</t>
  </si>
  <si>
    <t>Uso na ferramenta</t>
  </si>
  <si>
    <t>acamprosate</t>
  </si>
  <si>
    <t>ACSBC catalog</t>
  </si>
  <si>
    <t>No</t>
  </si>
  <si>
    <t>Low</t>
  </si>
  <si>
    <t>ACSBC</t>
  </si>
  <si>
    <t>Lavrador et al., Pharmaceutics 2023;15:230. https://doi.org/10.3390/pharmaceutics15010230</t>
  </si>
  <si>
    <t>Base para atividade anticolinérgica e afinidade muscarínica.</t>
  </si>
  <si>
    <t>acarbose</t>
  </si>
  <si>
    <t>American Geriatrics Society Beers Criteria 2023. J Am Geriatr Soc. 2023;71:2052–2081. https://doi.org/10.1111/jgs.18372</t>
  </si>
  <si>
    <t>Base para PIM e classes associadas a efeitos adversos funcionais.</t>
  </si>
  <si>
    <t>acetaminophen</t>
  </si>
  <si>
    <t>analgesic</t>
  </si>
  <si>
    <t>Manual curation from ACSBC/Beers</t>
  </si>
  <si>
    <t>Se o medicamento for anticolinérgico e sedativo, conta apenas uma vez com maior peso.</t>
  </si>
  <si>
    <t>acetazolamide</t>
  </si>
  <si>
    <t>Peso moderado</t>
  </si>
  <si>
    <t>0,5</t>
  </si>
  <si>
    <t>acetylsalicylic acid</t>
  </si>
  <si>
    <t>antiplatelet</t>
  </si>
  <si>
    <t>Peso alto</t>
  </si>
  <si>
    <t>1,0</t>
  </si>
  <si>
    <t>acetylsalicylic acid / aspirin</t>
  </si>
  <si>
    <t>acitretin</t>
  </si>
  <si>
    <t>acrivastine</t>
  </si>
  <si>
    <t>acyclovir</t>
  </si>
  <si>
    <t>afatinib</t>
  </si>
  <si>
    <t>albuterol</t>
  </si>
  <si>
    <t>alectinib</t>
  </si>
  <si>
    <t>alendronate</t>
  </si>
  <si>
    <t>alitretinoin (isotretinoin)</t>
  </si>
  <si>
    <t>allopurinol</t>
  </si>
  <si>
    <t>almotriptan</t>
  </si>
  <si>
    <t>Moderate</t>
  </si>
  <si>
    <t>alprazolam</t>
  </si>
  <si>
    <t>benzodiazepine</t>
  </si>
  <si>
    <t>High</t>
  </si>
  <si>
    <t>aluminum hydroxide</t>
  </si>
  <si>
    <t>amantadine</t>
  </si>
  <si>
    <t>amiloride</t>
  </si>
  <si>
    <t>amiodarone</t>
  </si>
  <si>
    <t>amitriptyline</t>
  </si>
  <si>
    <t>TCA antidepressant</t>
  </si>
  <si>
    <t>amlodipine</t>
  </si>
  <si>
    <t>common non-contributing medication</t>
  </si>
  <si>
    <t>ammonium</t>
  </si>
  <si>
    <t>amoxapine</t>
  </si>
  <si>
    <t>amoxicillin</t>
  </si>
  <si>
    <t>amoxicillin-clavulanate</t>
  </si>
  <si>
    <t>ampicillin</t>
  </si>
  <si>
    <t>anagrelide</t>
  </si>
  <si>
    <t>anastrozole</t>
  </si>
  <si>
    <t>apixaban</t>
  </si>
  <si>
    <t>anticoagulant</t>
  </si>
  <si>
    <t>apraclonidine</t>
  </si>
  <si>
    <t>aripiprazole</t>
  </si>
  <si>
    <t>antipsychotic</t>
  </si>
  <si>
    <t>artemether</t>
  </si>
  <si>
    <t>asenapine</t>
  </si>
  <si>
    <t>aspirin</t>
  </si>
  <si>
    <t>atenolol</t>
  </si>
  <si>
    <t>atorvastatin</t>
  </si>
  <si>
    <t>atovaquone</t>
  </si>
  <si>
    <t>atropine</t>
  </si>
  <si>
    <t>antimuscarinic</t>
  </si>
  <si>
    <t>axitinib</t>
  </si>
  <si>
    <t>azathioprine</t>
  </si>
  <si>
    <t>azithromycin</t>
  </si>
  <si>
    <t>b; senokot pioglitazone</t>
  </si>
  <si>
    <t>bacitracin</t>
  </si>
  <si>
    <t>baclofen</t>
  </si>
  <si>
    <t>muscle relaxant</t>
  </si>
  <si>
    <t>beclomethasone</t>
  </si>
  <si>
    <t>benazepril</t>
  </si>
  <si>
    <t>benzatropine</t>
  </si>
  <si>
    <t>antiparkinsonian anticholinergic</t>
  </si>
  <si>
    <t>benzonatate</t>
  </si>
  <si>
    <t>benztropine</t>
  </si>
  <si>
    <t>bepotastine</t>
  </si>
  <si>
    <t>betaine</t>
  </si>
  <si>
    <t>betamethasone</t>
  </si>
  <si>
    <t>betaxolol</t>
  </si>
  <si>
    <t>bethanechol</t>
  </si>
  <si>
    <t>bexarotene</t>
  </si>
  <si>
    <t>bicalutamide</t>
  </si>
  <si>
    <t>bimatoprost</t>
  </si>
  <si>
    <t>binimetinib</t>
  </si>
  <si>
    <t>bisacodyl</t>
  </si>
  <si>
    <t>bismuth subsalicylate</t>
  </si>
  <si>
    <t>bisoprolol</t>
  </si>
  <si>
    <t>bosutinib</t>
  </si>
  <si>
    <t>brigatinib</t>
  </si>
  <si>
    <t>brivaracetam</t>
  </si>
  <si>
    <t>bromhexine</t>
  </si>
  <si>
    <t>bromocriptine</t>
  </si>
  <si>
    <t>brompheniramine</t>
  </si>
  <si>
    <t>1st-generation antihistamine</t>
  </si>
  <si>
    <t>budesonide</t>
  </si>
  <si>
    <t>bumetanide</t>
  </si>
  <si>
    <t>buprenorphine</t>
  </si>
  <si>
    <t>opioid</t>
  </si>
  <si>
    <t>buspirone</t>
  </si>
  <si>
    <t>butabarbital</t>
  </si>
  <si>
    <t>butalbital</t>
  </si>
  <si>
    <t>barbiturate</t>
  </si>
  <si>
    <t>cabergoline</t>
  </si>
  <si>
    <t>calamine, topical</t>
  </si>
  <si>
    <t>calcipotriene, topical</t>
  </si>
  <si>
    <t>calcitriol</t>
  </si>
  <si>
    <t>calcium</t>
  </si>
  <si>
    <t>camphor-menthol, topical</t>
  </si>
  <si>
    <t>candesartan (cilexetil)</t>
  </si>
  <si>
    <t>cannabidiol</t>
  </si>
  <si>
    <t>capecitabine</t>
  </si>
  <si>
    <t>carbamazepine</t>
  </si>
  <si>
    <t>antiepileptic</t>
  </si>
  <si>
    <t>carbidopa</t>
  </si>
  <si>
    <t>carbinoxamine</t>
  </si>
  <si>
    <t>cariprazine</t>
  </si>
  <si>
    <t>carisoprodol</t>
  </si>
  <si>
    <t>skeletal muscle relaxant</t>
  </si>
  <si>
    <t>carmellose sodium</t>
  </si>
  <si>
    <t>carnitine</t>
  </si>
  <si>
    <t>carvedilol</t>
  </si>
  <si>
    <t>castol oil</t>
  </si>
  <si>
    <t>cefaclor</t>
  </si>
  <si>
    <t>cefadroxil</t>
  </si>
  <si>
    <t>cefixime</t>
  </si>
  <si>
    <t>ceftibuten</t>
  </si>
  <si>
    <t>ceftriaxone</t>
  </si>
  <si>
    <t>cefuroxime</t>
  </si>
  <si>
    <t>celecoxib</t>
  </si>
  <si>
    <t>cephalexin</t>
  </si>
  <si>
    <t>ceritinib</t>
  </si>
  <si>
    <t>cetirizine</t>
  </si>
  <si>
    <t>2nd-generation antihistamine</t>
  </si>
  <si>
    <t>cetylpyridinium</t>
  </si>
  <si>
    <t>chlorambucil</t>
  </si>
  <si>
    <t>chloramphenicol</t>
  </si>
  <si>
    <t>chlordiazepoxide</t>
  </si>
  <si>
    <t>chlorhexidine</t>
  </si>
  <si>
    <t>chloroquine</t>
  </si>
  <si>
    <t>chlorothiazide</t>
  </si>
  <si>
    <t>chlorpheniramine</t>
  </si>
  <si>
    <t>chlorpromazine</t>
  </si>
  <si>
    <t>chlorthalidone/ chlortalidone</t>
  </si>
  <si>
    <t>chlorzoxazone</t>
  </si>
  <si>
    <t>cholestyramine</t>
  </si>
  <si>
    <t>cilostazol</t>
  </si>
  <si>
    <t>ciprofloxacin</t>
  </si>
  <si>
    <t>citalopram</t>
  </si>
  <si>
    <t>SSRI</t>
  </si>
  <si>
    <t>clarithromycin</t>
  </si>
  <si>
    <t>clemastine</t>
  </si>
  <si>
    <t>clidinium</t>
  </si>
  <si>
    <t>GI antispasmodic</t>
  </si>
  <si>
    <t>clindamycin</t>
  </si>
  <si>
    <t>clobazam</t>
  </si>
  <si>
    <t>clomipramine</t>
  </si>
  <si>
    <t>clonazepam</t>
  </si>
  <si>
    <t>clonidine</t>
  </si>
  <si>
    <t>clopidogrel</t>
  </si>
  <si>
    <t>clorazepate</t>
  </si>
  <si>
    <t>clotrimazole</t>
  </si>
  <si>
    <t>clozapine</t>
  </si>
  <si>
    <t>cobimetinib</t>
  </si>
  <si>
    <t>codeine</t>
  </si>
  <si>
    <t>colchicine</t>
  </si>
  <si>
    <t>colestipol</t>
  </si>
  <si>
    <t>collagenase</t>
  </si>
  <si>
    <t>crizotinib</t>
  </si>
  <si>
    <t>cromolyn</t>
  </si>
  <si>
    <t>cyclobenzaprine</t>
  </si>
  <si>
    <t>cyclophosphamide</t>
  </si>
  <si>
    <t>cycloserine</t>
  </si>
  <si>
    <t>cyclosporine</t>
  </si>
  <si>
    <t>cyproheptadine</t>
  </si>
  <si>
    <t>dabigatran</t>
  </si>
  <si>
    <t>dabrafenib</t>
  </si>
  <si>
    <t>dacomitinib</t>
  </si>
  <si>
    <t>danazol</t>
  </si>
  <si>
    <t>darifenacin</t>
  </si>
  <si>
    <t>urinary antimuscarinic</t>
  </si>
  <si>
    <t>dasatinib</t>
  </si>
  <si>
    <t>delafloxacin</t>
  </si>
  <si>
    <t>demeclocycline</t>
  </si>
  <si>
    <t>derivate zolpidem</t>
  </si>
  <si>
    <t>desipramine</t>
  </si>
  <si>
    <t>desmopressin</t>
  </si>
  <si>
    <t>desonide</t>
  </si>
  <si>
    <t>desoximetasone</t>
  </si>
  <si>
    <t>desvenlafaxine</t>
  </si>
  <si>
    <t>SNRI</t>
  </si>
  <si>
    <t>dexamethasone</t>
  </si>
  <si>
    <t>dexchlorpheniramine</t>
  </si>
  <si>
    <t>dexlansoprazole</t>
  </si>
  <si>
    <t>dextro-propoxyphene) saccharomyces boulardii</t>
  </si>
  <si>
    <t>diazepam</t>
  </si>
  <si>
    <t>diclofenac</t>
  </si>
  <si>
    <t>NSAID</t>
  </si>
  <si>
    <t>dicyclomine</t>
  </si>
  <si>
    <t>diflunisal</t>
  </si>
  <si>
    <t>digoxin</t>
  </si>
  <si>
    <t>dihydrocodeine</t>
  </si>
  <si>
    <t>diltiazem</t>
  </si>
  <si>
    <t>dimenhydrinate</t>
  </si>
  <si>
    <t>diphenhydramine</t>
  </si>
  <si>
    <t>diphenoxylate</t>
  </si>
  <si>
    <t>dipyridamole</t>
  </si>
  <si>
    <t>disopyramide</t>
  </si>
  <si>
    <t>disulfiram</t>
  </si>
  <si>
    <t>divalproex sodium</t>
  </si>
  <si>
    <t>dobutamine</t>
  </si>
  <si>
    <t>docusate</t>
  </si>
  <si>
    <t>donepezil</t>
  </si>
  <si>
    <t>dopamine</t>
  </si>
  <si>
    <t>doxazosin</t>
  </si>
  <si>
    <t>doxepin</t>
  </si>
  <si>
    <t>TCA antidepressant; Beers if &gt;6 mg/day</t>
  </si>
  <si>
    <t>doxycycline</t>
  </si>
  <si>
    <t>doxylamine</t>
  </si>
  <si>
    <t>dulaglutide</t>
  </si>
  <si>
    <t>duloxetine</t>
  </si>
  <si>
    <t>dydrogesterone</t>
  </si>
  <si>
    <t>edoxaban</t>
  </si>
  <si>
    <t>empagliflozin</t>
  </si>
  <si>
    <t>enalapril</t>
  </si>
  <si>
    <t>enasidenib</t>
  </si>
  <si>
    <t>encorafenib</t>
  </si>
  <si>
    <t>enoxaparin</t>
  </si>
  <si>
    <t>entacapone</t>
  </si>
  <si>
    <t>eperisone</t>
  </si>
  <si>
    <t>epinephrine</t>
  </si>
  <si>
    <t>epoetin alfa</t>
  </si>
  <si>
    <t>eprosartan</t>
  </si>
  <si>
    <t>ergocalciferol</t>
  </si>
  <si>
    <t>ergoloid mesylates</t>
  </si>
  <si>
    <t>ergotamine</t>
  </si>
  <si>
    <t>erlotinib</t>
  </si>
  <si>
    <t>erythromycin</t>
  </si>
  <si>
    <t>escitalopram</t>
  </si>
  <si>
    <t>eslicarbazepine</t>
  </si>
  <si>
    <t>esomeprazole</t>
  </si>
  <si>
    <t>esterified estrogens</t>
  </si>
  <si>
    <t>estradiol</t>
  </si>
  <si>
    <t>estramustine</t>
  </si>
  <si>
    <t>estrogen (estradiol)</t>
  </si>
  <si>
    <t>estropipate; estrone sulfate</t>
  </si>
  <si>
    <t>eszopiclone</t>
  </si>
  <si>
    <t>Z-drug</t>
  </si>
  <si>
    <t>ethambutol</t>
  </si>
  <si>
    <t>ethosuximide</t>
  </si>
  <si>
    <t>ethotoin</t>
  </si>
  <si>
    <t>etidronate</t>
  </si>
  <si>
    <t>etodolac</t>
  </si>
  <si>
    <t>ezetimibe</t>
  </si>
  <si>
    <t>famotidine</t>
  </si>
  <si>
    <t>felbamate</t>
  </si>
  <si>
    <t>felodipine</t>
  </si>
  <si>
    <t>fenofibrate</t>
  </si>
  <si>
    <t>fenoprofen</t>
  </si>
  <si>
    <t>fenoterol inhalation</t>
  </si>
  <si>
    <t>fentanyl</t>
  </si>
  <si>
    <t>ferrous gluconate</t>
  </si>
  <si>
    <t>ferrous sulfate</t>
  </si>
  <si>
    <t>fesoterodine</t>
  </si>
  <si>
    <t>fexofenadine</t>
  </si>
  <si>
    <t>filgrastim</t>
  </si>
  <si>
    <t>finasteride</t>
  </si>
  <si>
    <t>fish oil</t>
  </si>
  <si>
    <t>flavoxate</t>
  </si>
  <si>
    <t>urological</t>
  </si>
  <si>
    <t>flecainide</t>
  </si>
  <si>
    <t>fluconazole</t>
  </si>
  <si>
    <t>fludrocortisone</t>
  </si>
  <si>
    <t>flunisolide</t>
  </si>
  <si>
    <t>fluoxetine</t>
  </si>
  <si>
    <t>fluphenazine</t>
  </si>
  <si>
    <t>flurazepam</t>
  </si>
  <si>
    <t>flutamide</t>
  </si>
  <si>
    <t>fluticasone</t>
  </si>
  <si>
    <t>fluvastatin</t>
  </si>
  <si>
    <t>folic acid</t>
  </si>
  <si>
    <t>formoterol inhalation</t>
  </si>
  <si>
    <t>fosinopril</t>
  </si>
  <si>
    <t>frovatriptan</t>
  </si>
  <si>
    <t>furosemide</t>
  </si>
  <si>
    <t>diuretic</t>
  </si>
  <si>
    <t>gabapentin</t>
  </si>
  <si>
    <t>gabapentinoid</t>
  </si>
  <si>
    <t>galantamine</t>
  </si>
  <si>
    <t>gefitinib</t>
  </si>
  <si>
    <t>gemfibrozil</t>
  </si>
  <si>
    <t>gemifloxacin</t>
  </si>
  <si>
    <t>ginseng</t>
  </si>
  <si>
    <t>glimepiride</t>
  </si>
  <si>
    <t>glipizide</t>
  </si>
  <si>
    <t>glucosamine</t>
  </si>
  <si>
    <t>glyburide/ glibenclamide</t>
  </si>
  <si>
    <t>goserelin acetate</t>
  </si>
  <si>
    <t>guaifenesin</t>
  </si>
  <si>
    <t>guanfacine</t>
  </si>
  <si>
    <t>halcinonide, topical</t>
  </si>
  <si>
    <t>haloperidol</t>
  </si>
  <si>
    <t>heparin</t>
  </si>
  <si>
    <t>hydralazine</t>
  </si>
  <si>
    <t>hydrochlorothiazide</t>
  </si>
  <si>
    <t>hydrocodone</t>
  </si>
  <si>
    <t>hydromorphone</t>
  </si>
  <si>
    <t>hydroxychloroquine</t>
  </si>
  <si>
    <t>hydroxypropyl, ophthalmic</t>
  </si>
  <si>
    <t>hydroxyzine</t>
  </si>
  <si>
    <t>hyoscyamine</t>
  </si>
  <si>
    <t>hyperici herba (st john's</t>
  </si>
  <si>
    <t>ibrutinib</t>
  </si>
  <si>
    <t>ibuprofen</t>
  </si>
  <si>
    <t>icodextrin</t>
  </si>
  <si>
    <t>idelalisib</t>
  </si>
  <si>
    <t>iloperidone</t>
  </si>
  <si>
    <t>imatinib</t>
  </si>
  <si>
    <t>imipramine</t>
  </si>
  <si>
    <t>indapamide</t>
  </si>
  <si>
    <t>indomethacin</t>
  </si>
  <si>
    <t>influenza virus vaccine</t>
  </si>
  <si>
    <t>inositol</t>
  </si>
  <si>
    <t>irbesartan</t>
  </si>
  <si>
    <t>iron</t>
  </si>
  <si>
    <t>isoniazid</t>
  </si>
  <si>
    <t>isosorbide</t>
  </si>
  <si>
    <t>isradipine</t>
  </si>
  <si>
    <t>ketoprofen</t>
  </si>
  <si>
    <t>labetalol</t>
  </si>
  <si>
    <t>lacosamide</t>
  </si>
  <si>
    <t>lactase; tilactase</t>
  </si>
  <si>
    <t>lactic acid bacteria</t>
  </si>
  <si>
    <t>lactobacillus rhamnosus</t>
  </si>
  <si>
    <t>lactulose</t>
  </si>
  <si>
    <t>lamotrigine</t>
  </si>
  <si>
    <t>lanolin-mineral oil, topical</t>
  </si>
  <si>
    <t>lansoprazole</t>
  </si>
  <si>
    <t>lapatinib</t>
  </si>
  <si>
    <t>lenvatinib</t>
  </si>
  <si>
    <t>levetiracetam</t>
  </si>
  <si>
    <t>levocabastine</t>
  </si>
  <si>
    <t>levocetirizine</t>
  </si>
  <si>
    <t>levodopa</t>
  </si>
  <si>
    <t>levofloxacin</t>
  </si>
  <si>
    <t>levothyroxine</t>
  </si>
  <si>
    <t>thyroid</t>
  </si>
  <si>
    <t>lidocaine</t>
  </si>
  <si>
    <t>liothyronine</t>
  </si>
  <si>
    <t>lisinopril</t>
  </si>
  <si>
    <t>lithium</t>
  </si>
  <si>
    <t>mood stabilizer</t>
  </si>
  <si>
    <t>lomustine</t>
  </si>
  <si>
    <t>loratadine</t>
  </si>
  <si>
    <t>lorazepam</t>
  </si>
  <si>
    <t>losartan</t>
  </si>
  <si>
    <t>lovastatin</t>
  </si>
  <si>
    <t>loxapine</t>
  </si>
  <si>
    <t>lurasidone</t>
  </si>
  <si>
    <t>lysine</t>
  </si>
  <si>
    <t>magnesium</t>
  </si>
  <si>
    <t>maprotiline</t>
  </si>
  <si>
    <t>mebeverine</t>
  </si>
  <si>
    <t>meclizine</t>
  </si>
  <si>
    <t>medroxyprogesterone</t>
  </si>
  <si>
    <t>mefenamic acid</t>
  </si>
  <si>
    <t>mefloquine</t>
  </si>
  <si>
    <t>megestrol</t>
  </si>
  <si>
    <t>melatonin</t>
  </si>
  <si>
    <t>hypnotic</t>
  </si>
  <si>
    <t>meloxicam</t>
  </si>
  <si>
    <t>memantine</t>
  </si>
  <si>
    <t>meperidine</t>
  </si>
  <si>
    <t>opioid; Beers</t>
  </si>
  <si>
    <t>meperidine (pethidine)</t>
  </si>
  <si>
    <t>mercaptopurine</t>
  </si>
  <si>
    <t>mesalamine (mesalazine)</t>
  </si>
  <si>
    <t>metamucil (psyllium)</t>
  </si>
  <si>
    <t>metaxalone</t>
  </si>
  <si>
    <t>metformin</t>
  </si>
  <si>
    <t>methazolamide</t>
  </si>
  <si>
    <t>methenamine</t>
  </si>
  <si>
    <t>methocarbamol</t>
  </si>
  <si>
    <t>methotrexate</t>
  </si>
  <si>
    <t>methyclothiazide</t>
  </si>
  <si>
    <t>methylcellulose</t>
  </si>
  <si>
    <t>methyldopa</t>
  </si>
  <si>
    <t>methylene blue</t>
  </si>
  <si>
    <t>methylphenidate</t>
  </si>
  <si>
    <t>methylprednisolone</t>
  </si>
  <si>
    <t>methyltestosterone</t>
  </si>
  <si>
    <t>metoclopramide</t>
  </si>
  <si>
    <t>antiemetic; Beers</t>
  </si>
  <si>
    <t>metolazone</t>
  </si>
  <si>
    <t>metronidazole</t>
  </si>
  <si>
    <t>mexiletine</t>
  </si>
  <si>
    <t>midazolam</t>
  </si>
  <si>
    <t>midodrine</t>
  </si>
  <si>
    <t>midostaurin</t>
  </si>
  <si>
    <t>milnacipran</t>
  </si>
  <si>
    <t>miltefosine</t>
  </si>
  <si>
    <t>mineral oil</t>
  </si>
  <si>
    <t>mirabegron</t>
  </si>
  <si>
    <t>mirtazapine</t>
  </si>
  <si>
    <t>antidepressant</t>
  </si>
  <si>
    <t>misoprostol</t>
  </si>
  <si>
    <t>mitotane</t>
  </si>
  <si>
    <t>modafinil</t>
  </si>
  <si>
    <t>moexipril</t>
  </si>
  <si>
    <t>molindone</t>
  </si>
  <si>
    <t>mometasone furoate</t>
  </si>
  <si>
    <t>montelukast</t>
  </si>
  <si>
    <t>morphine</t>
  </si>
  <si>
    <t>moxifloxacin</t>
  </si>
  <si>
    <t>multivitamin</t>
  </si>
  <si>
    <t>mupirocin, topical</t>
  </si>
  <si>
    <t>n-acetyl-l-cysteine</t>
  </si>
  <si>
    <t>nadolol</t>
  </si>
  <si>
    <t>naltrexone</t>
  </si>
  <si>
    <t>naproxen</t>
  </si>
  <si>
    <t>naratriptan</t>
  </si>
  <si>
    <t>nateglinide</t>
  </si>
  <si>
    <t>nefazodone</t>
  </si>
  <si>
    <t>neratinib</t>
  </si>
  <si>
    <t>niacin</t>
  </si>
  <si>
    <t>nicardipine</t>
  </si>
  <si>
    <t>nilotinib</t>
  </si>
  <si>
    <t>nimodipine</t>
  </si>
  <si>
    <t>nintedanib</t>
  </si>
  <si>
    <t>niraparib</t>
  </si>
  <si>
    <t>nisoldipine</t>
  </si>
  <si>
    <t>nitazoxanide</t>
  </si>
  <si>
    <t>nitrofurantoin</t>
  </si>
  <si>
    <t>nitroglycerin</t>
  </si>
  <si>
    <t>nizatidine</t>
  </si>
  <si>
    <t>norepinephrine</t>
  </si>
  <si>
    <t>norethisterone</t>
  </si>
  <si>
    <t>norfloxacin</t>
  </si>
  <si>
    <t>nortriptyline</t>
  </si>
  <si>
    <t>nystatin</t>
  </si>
  <si>
    <t>ofloxacin</t>
  </si>
  <si>
    <t>olanzapine</t>
  </si>
  <si>
    <t>olaparib</t>
  </si>
  <si>
    <t>olmesartan</t>
  </si>
  <si>
    <t>omega-3</t>
  </si>
  <si>
    <t>omeprazole</t>
  </si>
  <si>
    <t>PPI</t>
  </si>
  <si>
    <t>orphenadrine</t>
  </si>
  <si>
    <t>oxaprozin</t>
  </si>
  <si>
    <t>oxatomide</t>
  </si>
  <si>
    <t>oxazepam</t>
  </si>
  <si>
    <t>oxcarbazepine</t>
  </si>
  <si>
    <t>oxybutynin</t>
  </si>
  <si>
    <t>oxycodone</t>
  </si>
  <si>
    <t>palbociclib</t>
  </si>
  <si>
    <t>paliperidone</t>
  </si>
  <si>
    <t>pamidronate</t>
  </si>
  <si>
    <t>pancrelipase</t>
  </si>
  <si>
    <t>panobinostat</t>
  </si>
  <si>
    <t>pantoprazole</t>
  </si>
  <si>
    <t>paracetamol</t>
  </si>
  <si>
    <t>paracetamol; acetaminophen</t>
  </si>
  <si>
    <t>paroxetine</t>
  </si>
  <si>
    <t>SSRI; Beers</t>
  </si>
  <si>
    <t>pazopanib</t>
  </si>
  <si>
    <t>penicillin</t>
  </si>
  <si>
    <t>pentazocine</t>
  </si>
  <si>
    <t>pentoxifylline</t>
  </si>
  <si>
    <t>perampanel</t>
  </si>
  <si>
    <t>pergolide</t>
  </si>
  <si>
    <t>perindopril</t>
  </si>
  <si>
    <t>perphenazine</t>
  </si>
  <si>
    <t>pethidine</t>
  </si>
  <si>
    <t>phenazopyridine</t>
  </si>
  <si>
    <t>phenelzine</t>
  </si>
  <si>
    <t>phenobarbital</t>
  </si>
  <si>
    <t>phenprocoumon</t>
  </si>
  <si>
    <t>phenylephrine</t>
  </si>
  <si>
    <t>phenytoin</t>
  </si>
  <si>
    <t>phytonadione</t>
  </si>
  <si>
    <t>pilocarpine</t>
  </si>
  <si>
    <t>pimavanserin</t>
  </si>
  <si>
    <t>pindolol</t>
  </si>
  <si>
    <t>pitavastatin</t>
  </si>
  <si>
    <t>pivampicillin</t>
  </si>
  <si>
    <t>polyethelene glycol</t>
  </si>
  <si>
    <t>polymyxin b, ophthalmic</t>
  </si>
  <si>
    <t>polyvinyl alcohol</t>
  </si>
  <si>
    <t>ponatinib</t>
  </si>
  <si>
    <t>potassium bicarbonate</t>
  </si>
  <si>
    <t>potassium chloride</t>
  </si>
  <si>
    <t>potassium citrate</t>
  </si>
  <si>
    <t>pramipexole</t>
  </si>
  <si>
    <t>pravastatin</t>
  </si>
  <si>
    <t>prazosin</t>
  </si>
  <si>
    <t>prednisolone low repaglinide</t>
  </si>
  <si>
    <t>pregabalin</t>
  </si>
  <si>
    <t>primaquine</t>
  </si>
  <si>
    <t>primidone</t>
  </si>
  <si>
    <t>barbiturate-related</t>
  </si>
  <si>
    <t>probenecid</t>
  </si>
  <si>
    <t>procainamide</t>
  </si>
  <si>
    <t>prochlorperazine</t>
  </si>
  <si>
    <t>antiemetic/antipsychotic</t>
  </si>
  <si>
    <t>procyclidine</t>
  </si>
  <si>
    <t>progesterone</t>
  </si>
  <si>
    <t>proguanil</t>
  </si>
  <si>
    <t>promethazine</t>
  </si>
  <si>
    <t>propafenone</t>
  </si>
  <si>
    <t>propoxyphene chloride</t>
  </si>
  <si>
    <t>propranolol</t>
  </si>
  <si>
    <t>propylene glycol</t>
  </si>
  <si>
    <t>propylthiouracil</t>
  </si>
  <si>
    <t>protamine</t>
  </si>
  <si>
    <t>protriptyline</t>
  </si>
  <si>
    <t>pseudoephedrine</t>
  </si>
  <si>
    <t>psyllium</t>
  </si>
  <si>
    <t>pyridostigmine</t>
  </si>
  <si>
    <t>pyridoxine</t>
  </si>
  <si>
    <t>pyrilamine (mepiramine)</t>
  </si>
  <si>
    <t>pyrimethamine</t>
  </si>
  <si>
    <t>quazepam</t>
  </si>
  <si>
    <t>quetiapine</t>
  </si>
  <si>
    <t>quinapril</t>
  </si>
  <si>
    <t>quinidine</t>
  </si>
  <si>
    <t>quinine</t>
  </si>
  <si>
    <t>rabeprazole</t>
  </si>
  <si>
    <t>raloxifene</t>
  </si>
  <si>
    <t>ramelteon</t>
  </si>
  <si>
    <t>ranitidine</t>
  </si>
  <si>
    <t>rasagiline</t>
  </si>
  <si>
    <t>regorafenib</t>
  </si>
  <si>
    <t>rifampin</t>
  </si>
  <si>
    <t>rimantadine</t>
  </si>
  <si>
    <t>risedronate</t>
  </si>
  <si>
    <t>risperidone</t>
  </si>
  <si>
    <t>rivaroxaban</t>
  </si>
  <si>
    <t>rivastigmine</t>
  </si>
  <si>
    <t>rofecoxib</t>
  </si>
  <si>
    <t>ropinirole</t>
  </si>
  <si>
    <t>rosiglitazone</t>
  </si>
  <si>
    <t>rosuvastatin</t>
  </si>
  <si>
    <t>rufinamide</t>
  </si>
  <si>
    <t>ruxolitinib</t>
  </si>
  <si>
    <t>safinamide</t>
  </si>
  <si>
    <t>salbutamol; albuterol</t>
  </si>
  <si>
    <t>salicylic, topical</t>
  </si>
  <si>
    <t>salmeterol</t>
  </si>
  <si>
    <t>salsalate</t>
  </si>
  <si>
    <t>scopolamine</t>
  </si>
  <si>
    <t>GI antispasmodic/antiemetic</t>
  </si>
  <si>
    <t>secobarbital</t>
  </si>
  <si>
    <t>selegiline</t>
  </si>
  <si>
    <t>senna (leaf); sennosides a &amp;</t>
  </si>
  <si>
    <t>sertraline</t>
  </si>
  <si>
    <t>sevelamer</t>
  </si>
  <si>
    <t>sildenafil</t>
  </si>
  <si>
    <t>simethicone</t>
  </si>
  <si>
    <t>simvastatin</t>
  </si>
  <si>
    <t>sitagliptin</t>
  </si>
  <si>
    <t>sodium bicarbonate</t>
  </si>
  <si>
    <t>sodium chloride</t>
  </si>
  <si>
    <t>sodium phosphate</t>
  </si>
  <si>
    <t>solifenacin</t>
  </si>
  <si>
    <t>sonidegib</t>
  </si>
  <si>
    <t>sorafenib</t>
  </si>
  <si>
    <t>sotalol</t>
  </si>
  <si>
    <t>spironolactone</t>
  </si>
  <si>
    <t>stiripentol</t>
  </si>
  <si>
    <t>succinylcholine</t>
  </si>
  <si>
    <t>sucralfate</t>
  </si>
  <si>
    <t>sulfamethizole</t>
  </si>
  <si>
    <t>sulfasalazine</t>
  </si>
  <si>
    <t>sulindac</t>
  </si>
  <si>
    <t>sumatriptan</t>
  </si>
  <si>
    <t>sunitinib</t>
  </si>
  <si>
    <t>suvorexant</t>
  </si>
  <si>
    <t>tadalafil</t>
  </si>
  <si>
    <t>talazoparib</t>
  </si>
  <si>
    <t>tamoxifen</t>
  </si>
  <si>
    <t>tamsulosin</t>
  </si>
  <si>
    <t>tapentadol</t>
  </si>
  <si>
    <t>telmisartan</t>
  </si>
  <si>
    <t>temazepam</t>
  </si>
  <si>
    <t>temozolomide</t>
  </si>
  <si>
    <t>terazosin</t>
  </si>
  <si>
    <t>terbinafine</t>
  </si>
  <si>
    <t>terbutaline</t>
  </si>
  <si>
    <t>teriparatide</t>
  </si>
  <si>
    <t>tetracycline</t>
  </si>
  <si>
    <t>theophylline</t>
  </si>
  <si>
    <t>thiamazole (methimazole)</t>
  </si>
  <si>
    <t>thiamine</t>
  </si>
  <si>
    <t>thiothixene</t>
  </si>
  <si>
    <t>thyroid desiccated</t>
  </si>
  <si>
    <t>tiagabine</t>
  </si>
  <si>
    <t>tianeptine</t>
  </si>
  <si>
    <t>tiaprofenic acid</t>
  </si>
  <si>
    <t>ticlopidine</t>
  </si>
  <si>
    <t>timolol</t>
  </si>
  <si>
    <t>tinidazole</t>
  </si>
  <si>
    <t>tizanidine</t>
  </si>
  <si>
    <t>tocopherol, vitamin e</t>
  </si>
  <si>
    <t>tolmetin</t>
  </si>
  <si>
    <t>tolterodine</t>
  </si>
  <si>
    <t>topiramate</t>
  </si>
  <si>
    <t>torsemide</t>
  </si>
  <si>
    <t>tramadol</t>
  </si>
  <si>
    <t>opioid; Beers caution</t>
  </si>
  <si>
    <t>trametinib</t>
  </si>
  <si>
    <t>travoprost</t>
  </si>
  <si>
    <t>trazodone</t>
  </si>
  <si>
    <t>triazolam</t>
  </si>
  <si>
    <t>trichlormethiazide</t>
  </si>
  <si>
    <t>trifluoperazine</t>
  </si>
  <si>
    <t>trihexyphenidyl</t>
  </si>
  <si>
    <t>trimethoprim</t>
  </si>
  <si>
    <t>trimipramine</t>
  </si>
  <si>
    <t>triprolidine</t>
  </si>
  <si>
    <t>trospium</t>
  </si>
  <si>
    <t>tuberculin purified protein</t>
  </si>
  <si>
    <t>ubidecarenone</t>
  </si>
  <si>
    <t>urea</t>
  </si>
  <si>
    <t>ursodiol</t>
  </si>
  <si>
    <t>valproic acid</t>
  </si>
  <si>
    <t>valsartan</t>
  </si>
  <si>
    <t>vancomycin</t>
  </si>
  <si>
    <t>vandetanib</t>
  </si>
  <si>
    <t>varenicline</t>
  </si>
  <si>
    <t>vecuronium</t>
  </si>
  <si>
    <t>vemurafenib</t>
  </si>
  <si>
    <t>venetoclax</t>
  </si>
  <si>
    <t>venlafaxine</t>
  </si>
  <si>
    <t>verapamil</t>
  </si>
  <si>
    <t>vismodegib</t>
  </si>
  <si>
    <t>vitamin e</t>
  </si>
  <si>
    <t>vitamin k</t>
  </si>
  <si>
    <t>vorinostat</t>
  </si>
  <si>
    <t>vortioxetine</t>
  </si>
  <si>
    <t>warfarin</t>
  </si>
  <si>
    <t>wort) flurbiprofen</t>
  </si>
  <si>
    <t>yes ixazomib</t>
  </si>
  <si>
    <t>yes ketorolac</t>
  </si>
  <si>
    <t>zafirlukast</t>
  </si>
  <si>
    <t>zaleplon</t>
  </si>
  <si>
    <t>zinc</t>
  </si>
  <si>
    <t>ziprasidone</t>
  </si>
  <si>
    <t>zolmitriptan</t>
  </si>
  <si>
    <t>zolpidem</t>
  </si>
  <si>
    <t>zonisamide</t>
  </si>
  <si>
    <t>zopiclone</t>
  </si>
  <si>
    <t>zuclopenthixol</t>
  </si>
  <si>
    <t>Parâmetro</t>
  </si>
  <si>
    <t>Descrição</t>
  </si>
  <si>
    <t>Categoria</t>
  </si>
  <si>
    <t>Ponto</t>
  </si>
  <si>
    <t>Polifarmácia: 0-4 medicamentos</t>
  </si>
  <si>
    <t>Sem pontuação por número de medicamentos.</t>
  </si>
  <si>
    <t>no</t>
  </si>
  <si>
    <t>Polifarmácia: 5-9 medicamentos</t>
  </si>
  <si>
    <t>Pontuação aplicada quando o paciente usa de 5 a 9 medicamentos.</t>
  </si>
  <si>
    <t>low</t>
  </si>
  <si>
    <t>Polifarmácia: ≥10 medicamentos</t>
  </si>
  <si>
    <t>Pontuação aplicada quando o paciente usa 10 ou mais medicamentos.</t>
  </si>
  <si>
    <t>moderate</t>
  </si>
  <si>
    <t>Afinidade baixa</t>
  </si>
  <si>
    <t>Atividade anticolinérgica ou sedativa baixa conforme ACSBC.</t>
  </si>
  <si>
    <t>high</t>
  </si>
  <si>
    <t>Afinidade moderada</t>
  </si>
  <si>
    <t>Atividade anticolinérgica ou sedativa moderada conforme ACSBC.</t>
  </si>
  <si>
    <t>Afinidade alta</t>
  </si>
  <si>
    <t>Atividade anticolinérgica ou sedativa alta conforme ACSBC.</t>
  </si>
  <si>
    <t>Somar para cada medicamento PIM/Beers apenas quando ele não tiver sido pontuado previamente por afinidade AC/sedativa.</t>
  </si>
  <si>
    <t>Capacidade da calculadora</t>
  </si>
  <si>
    <t>Até 25 medicamentos por paciente, um por linha.</t>
  </si>
  <si>
    <t>Interação medicamentosa</t>
  </si>
  <si>
    <t>Pontuação</t>
  </si>
  <si>
    <t>Fonte operacional</t>
  </si>
  <si>
    <t>Moderada</t>
  </si>
  <si>
    <t>DrugBank Non-Commercial XML como fonte prioritária; gravidade registrada manualmente.</t>
  </si>
  <si>
    <t>Grave/Alta/Major/Severe/Contraindicated</t>
  </si>
  <si>
    <t>Apenas a interação de maior gravidade é incorporada ao FPRS.</t>
  </si>
  <si>
    <t>Sem interação relevante ou leve</t>
  </si>
  <si>
    <t>Não acrescenta pontuação.</t>
  </si>
  <si>
    <t>Entrada_normalizada_aceita</t>
  </si>
  <si>
    <t>alitretinoin</t>
  </si>
  <si>
    <t>amitriptilina</t>
  </si>
  <si>
    <t>amitriptylin</t>
  </si>
  <si>
    <t>amitriptylina</t>
  </si>
  <si>
    <t>amitriptyline hydrochloride</t>
  </si>
  <si>
    <t>amitryptiline</t>
  </si>
  <si>
    <t>asa</t>
  </si>
  <si>
    <t>atorvastatina</t>
  </si>
  <si>
    <t>benzotropine</t>
  </si>
  <si>
    <t>candesartan</t>
  </si>
  <si>
    <t>chlortalidone</t>
  </si>
  <si>
    <t>chlorthalidone</t>
  </si>
  <si>
    <t>cilexetil</t>
  </si>
  <si>
    <t>diphenhydramine hydrochloride</t>
  </si>
  <si>
    <t>estrogen</t>
  </si>
  <si>
    <t>estrone sulfate</t>
  </si>
  <si>
    <t>estropipate</t>
  </si>
  <si>
    <t>fluoxetina</t>
  </si>
  <si>
    <t>gabapentina</t>
  </si>
  <si>
    <t>glibenclamide</t>
  </si>
  <si>
    <t>glyburide</t>
  </si>
  <si>
    <t>isotretinoin</t>
  </si>
  <si>
    <t>lactase</t>
  </si>
  <si>
    <t>leaf</t>
  </si>
  <si>
    <t>losartana</t>
  </si>
  <si>
    <t>mepiramine</t>
  </si>
  <si>
    <t>mesalamine</t>
  </si>
  <si>
    <t>mesalazine</t>
  </si>
  <si>
    <t>metamucil</t>
  </si>
  <si>
    <t>metformina</t>
  </si>
  <si>
    <t>methimazole</t>
  </si>
  <si>
    <t>olanzapina</t>
  </si>
  <si>
    <t>omeprazol</t>
  </si>
  <si>
    <t>oxibutinina</t>
  </si>
  <si>
    <t>oxybutynin chloride</t>
  </si>
  <si>
    <t>pantoprazol</t>
  </si>
  <si>
    <t>paroxetina</t>
  </si>
  <si>
    <t>pregabalina</t>
  </si>
  <si>
    <t>pyrilamine</t>
  </si>
  <si>
    <t>quetiapina</t>
  </si>
  <si>
    <t>risperidona</t>
  </si>
  <si>
    <t>salbutamol</t>
  </si>
  <si>
    <t>senna (leaf)</t>
  </si>
  <si>
    <t>senna ; sennosides a &amp;</t>
  </si>
  <si>
    <t>sennosides a &amp;</t>
  </si>
  <si>
    <t>senokot pioglitazone</t>
  </si>
  <si>
    <t>sertralina</t>
  </si>
  <si>
    <t>solifenacina</t>
  </si>
  <si>
    <t>thiamazole</t>
  </si>
  <si>
    <t>tilactase</t>
  </si>
  <si>
    <t>tolterodina</t>
  </si>
  <si>
    <t>Aba desconsiderada nesta versão do FPRS</t>
  </si>
  <si>
    <t>O componente de interações medicamentosas foi removido da fórmula operacional.</t>
  </si>
  <si>
    <t>Domínio</t>
  </si>
  <si>
    <t>Critério operacional</t>
  </si>
  <si>
    <t>Fonte/referência</t>
  </si>
  <si>
    <t>Polifarmácia</t>
  </si>
  <si>
    <t>5–9 medicamentos</t>
  </si>
  <si>
    <t>Regra operacional FPRS</t>
  </si>
  <si>
    <t>Incluída como marcador de complexidade farmacoterapêutica.</t>
  </si>
  <si>
    <t>≥10 medicamentos</t>
  </si>
  <si>
    <t>Aumenta risco por carga/complexidade de medicamentos.</t>
  </si>
  <si>
    <t>Carga AC/sedativa</t>
  </si>
  <si>
    <t>1</t>
  </si>
  <si>
    <t>ACSBC / Universal list of drugs</t>
  </si>
  <si>
    <t>Usa maior afinidade entre componente anticolinérgico e sedativo.</t>
  </si>
  <si>
    <t>2</t>
  </si>
  <si>
    <t>Medicamento com dupla propriedade conta apenas uma vez.</t>
  </si>
  <si>
    <t>3</t>
  </si>
  <si>
    <t>PIM sem pontuação AC/sedativa prévia</t>
  </si>
  <si>
    <t>+0,5 por medicamento</t>
  </si>
  <si>
    <t>AGS Beers Criteria 2023</t>
  </si>
  <si>
    <t>Evita dupla contagem quando já pontuado por afinidade.</t>
  </si>
  <si>
    <t>Classificação</t>
  </si>
  <si>
    <t>FPRS &gt; 1,5</t>
  </si>
  <si>
    <t>Alto risco</t>
  </si>
  <si>
    <t>Indica necessidade de revisão da farmacoterapia.</t>
  </si>
  <si>
    <t>Exemplo de teste – grafia alternativa e pontuação por afinidade</t>
  </si>
  <si>
    <t>Normalizado</t>
  </si>
  <si>
    <t>Encontrado</t>
  </si>
  <si>
    <t>Peso afinidade</t>
  </si>
  <si>
    <t>Peso contado</t>
  </si>
  <si>
    <t>Contribuição</t>
  </si>
  <si>
    <t>Amitryptiline</t>
  </si>
  <si>
    <t>Carga afinidade</t>
  </si>
  <si>
    <t>FPRS parcial sem interações</t>
  </si>
  <si>
    <t>Amitryptiline deve normalizar para amitriptyline e pontuar como alta afinidade.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</si>
</sst>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4"/>
      <name val="Carlito"/>
    </font>
    <font>
      <b/>
      <sz val="14"/>
      <color rgb="FFFFFFFF"/>
      <name val="Carlito"/>
    </font>
    <font>
      <b/>
      <sz val="11"/>
      <color rgb="FF1F4E78"/>
      <name val="Carlito"/>
    </font>
    <font>
      <b/>
      <sz val="12"/>
      <name val="Carlito"/>
    </font>
  </fonts>
  <fills count="1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FF7ED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5B9BD5"/>
      </patternFill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rgb="FFECFDF5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/>
    <xf numFmtId="0" fontId="1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2" fillId="7" borderId="0" xfId="0" applyFont="1" applyFill="1"/>
    <xf numFmtId="0" fontId="1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wrapText="1"/>
    </xf>
    <xf numFmtId="0" fontId="2" fillId="8" borderId="0" xfId="0" applyFont="1" applyFill="1" applyAlignment="1">
      <alignment wrapText="1"/>
    </xf>
    <xf numFmtId="0" fontId="2" fillId="8" borderId="0" xfId="0" applyFont="1" applyFill="1"/>
    <xf numFmtId="14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0" fontId="2" fillId="5" borderId="0" xfId="0" applyFont="1" applyFill="1" applyAlignment="1">
      <alignment wrapText="1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 wrapText="1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 vertical="center" wrapText="1"/>
    </xf>
    <xf numFmtId="0" fontId="2" fillId="12" borderId="0" xfId="0" applyFont="1" applyFill="1"/>
    <xf numFmtId="0" fontId="1" fillId="12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1" fillId="13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wrapText="1"/>
    </xf>
    <xf numFmtId="0" fontId="2" fillId="14" borderId="0" xfId="0" applyFont="1" applyFill="1" applyAlignment="1">
      <alignment wrapText="1"/>
    </xf>
    <xf numFmtId="0" fontId="3" fillId="15" borderId="0" xfId="0" applyFont="1" applyFill="1" applyAlignment="1">
      <alignment horizontal="center" wrapText="1"/>
    </xf>
    <xf numFmtId="0" fontId="2" fillId="15" borderId="0" xfId="0" applyFont="1" applyFill="1" applyAlignment="1">
      <alignment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5" fillId="7" borderId="0" xfId="0" applyFont="1" applyFill="1" applyAlignment="1">
      <alignment wrapText="1"/>
    </xf>
    <xf numFmtId="0" fontId="2" fillId="7" borderId="0" xfId="0" applyFont="1" applyFill="1" applyAlignment="1">
      <alignment wrapText="1"/>
    </xf>
    <xf numFmtId="0" fontId="4" fillId="13" borderId="0" xfId="0" applyFont="1" applyFill="1" applyAlignment="1">
      <alignment horizontal="center" vertical="center" wrapText="1"/>
    </xf>
    <xf numFmtId="0" fontId="4" fillId="11" borderId="0" xfId="0" applyFont="1" applyFill="1" applyAlignment="1">
      <alignment horizontal="center" vertical="center" wrapText="1"/>
    </xf>
    <xf numFmtId="0" fontId="4" fillId="13" borderId="0" xfId="0" applyFont="1" applyFill="1" applyAlignment="1">
      <alignment horizontal="center" wrapText="1"/>
    </xf>
    <xf numFmtId="0" fontId="4" fillId="6" borderId="0" xfId="0" applyFont="1" applyFill="1" applyAlignment="1">
      <alignment horizontal="center"/>
    </xf>
  </cellXfs>
  <cellStyles count="1">
    <cellStyle name="Normal" xfId="0" builtinId="0"/>
  </cellStyles>
  <dxfs count="4">
    <dxf>
      <font>
        <b/>
        <color rgb="FF14532D"/>
      </font>
      <fill>
        <patternFill patternType="solid">
          <bgColor rgb="FFBBF7D0"/>
        </patternFill>
      </fill>
    </dxf>
    <dxf>
      <font>
        <b/>
        <color rgb="FF7F1D1D"/>
      </font>
      <fill>
        <patternFill patternType="solid">
          <bgColor rgb="FFFCA5A5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MedicamentosPaciente" displayName="tbMedicamentosPaciente" ref="A12:H42">
  <tableColumns count="8">
    <tableColumn id="1" xr3:uid="{00000000-0010-0000-0000-000001000000}" name="Medicamento informado pelo médico"/>
    <tableColumn id="2" xr3:uid="{00000000-0010-0000-0000-000002000000}" name="Medicamento normalizado"/>
    <tableColumn id="3" xr3:uid="{00000000-0010-0000-0000-000003000000}" name="Encontrado na base?"/>
    <tableColumn id="4" xr3:uid="{00000000-0010-0000-0000-000004000000}" name="PIM/Beers"/>
    <tableColumn id="5" xr3:uid="{00000000-0010-0000-0000-000005000000}" name="AC ou sedativo?"/>
    <tableColumn id="6" xr3:uid="{00000000-0010-0000-0000-000006000000}" name="Peso fixo"/>
    <tableColumn id="7" xr3:uid="{00000000-0010-0000-0000-000007000000}" name="Peso contado uma vez"/>
    <tableColumn id="8" xr3:uid="{00000000-0010-0000-0000-000008000000}" name="Observ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BaseFixa" displayName="tbBaseFixa" ref="A1:I300">
  <tableColumns count="9">
    <tableColumn id="1" xr3:uid="{00000000-0010-0000-0100-000001000000}" name="Medicamento_normalizado"/>
    <tableColumn id="2" xr3:uid="{00000000-0010-0000-0100-000002000000}" name="Classe/observação"/>
    <tableColumn id="3" xr3:uid="{00000000-0010-0000-0100-000003000000}" name="PIM_Beers_2023"/>
    <tableColumn id="4" xr3:uid="{00000000-0010-0000-0100-000004000000}" name="AC"/>
    <tableColumn id="5" xr3:uid="{00000000-0010-0000-0100-000005000000}" name="Afinidade_AC"/>
    <tableColumn id="6" xr3:uid="{00000000-0010-0000-0100-000006000000}" name="Sedativo"/>
    <tableColumn id="7" xr3:uid="{00000000-0010-0000-0100-000007000000}" name="Afinidade_sedativa"/>
    <tableColumn id="8" xr3:uid="{00000000-0010-0000-0100-000008000000}" name="Peso_final"/>
    <tableColumn id="9" xr3:uid="{00000000-0010-0000-0100-000009000000}" name="Fonte/justificativ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5"/>
  <sheetViews>
    <sheetView workbookViewId="0"/>
  </sheetViews>
  <sheetFormatPr defaultRowHeight="13.8"/>
  <cols>
    <col min="1" max="1" width="28" customWidth="1"/>
    <col min="2" max="2" width="24" customWidth="1"/>
    <col min="3" max="3" width="16" customWidth="1"/>
    <col min="4" max="4" width="12" customWidth="1"/>
    <col min="5" max="5" width="16" customWidth="1"/>
    <col min="6" max="6" width="18" customWidth="1"/>
    <col min="7" max="7" width="16" customWidth="1"/>
    <col min="8" max="8" width="18" customWidth="1"/>
    <col min="9" max="9" width="12" customWidth="1"/>
    <col min="10" max="10" width="16" customWidth="1"/>
    <col min="11" max="11" width="38" customWidth="1"/>
  </cols>
  <sheetData>
    <row r="1" spans="1:11" ht="17.399999999999999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27.6">
      <c r="A3" s="20" t="s">
        <v>1</v>
      </c>
      <c r="B3" s="20" t="s">
        <v>2</v>
      </c>
      <c r="C3" s="3"/>
      <c r="D3" s="20" t="s">
        <v>3</v>
      </c>
      <c r="E3" s="20" t="s">
        <v>4</v>
      </c>
      <c r="F3" s="20" t="s">
        <v>5</v>
      </c>
      <c r="G3" s="3"/>
      <c r="H3" s="3"/>
      <c r="I3" s="3"/>
      <c r="J3" s="3"/>
      <c r="K3" s="3"/>
    </row>
    <row r="4" spans="1:11" ht="69">
      <c r="A4" s="3" t="s">
        <v>6</v>
      </c>
      <c r="B4" s="3"/>
      <c r="C4" s="3"/>
      <c r="D4" s="3" t="s">
        <v>7</v>
      </c>
      <c r="E4" s="3">
        <f>SUM(H13:H37)</f>
        <v>0</v>
      </c>
      <c r="F4" s="3" t="s">
        <v>8</v>
      </c>
      <c r="G4" s="3"/>
      <c r="H4" s="3"/>
      <c r="I4" s="3"/>
      <c r="J4" s="3"/>
      <c r="K4" s="3"/>
    </row>
    <row r="5" spans="1:11" ht="55.2">
      <c r="A5" s="3" t="s">
        <v>9</v>
      </c>
      <c r="B5" s="10">
        <f ca="1">TODAY()</f>
        <v>46174</v>
      </c>
      <c r="C5" s="3"/>
      <c r="D5" s="3" t="s">
        <v>10</v>
      </c>
      <c r="E5" s="3">
        <f>SUM(I13:I37)</f>
        <v>0</v>
      </c>
      <c r="F5" s="3" t="s">
        <v>11</v>
      </c>
      <c r="G5" s="3"/>
      <c r="H5" s="3"/>
      <c r="I5" s="3"/>
      <c r="J5" s="3"/>
      <c r="K5" s="3"/>
    </row>
    <row r="6" spans="1:11" ht="69.599999999999994">
      <c r="A6" s="3" t="s">
        <v>12</v>
      </c>
      <c r="B6" s="3"/>
      <c r="C6" s="3"/>
      <c r="D6" s="24" t="s">
        <v>13</v>
      </c>
      <c r="E6" s="23">
        <f>1.5</f>
        <v>1.5</v>
      </c>
      <c r="F6" s="24" t="s">
        <v>14</v>
      </c>
      <c r="G6" s="3"/>
      <c r="H6" s="3"/>
      <c r="I6" s="3"/>
      <c r="J6" s="3"/>
      <c r="K6" s="3"/>
    </row>
    <row r="7" spans="1:11" ht="55.2">
      <c r="A7" s="3" t="s">
        <v>15</v>
      </c>
      <c r="B7" s="3"/>
      <c r="C7" s="3"/>
      <c r="D7" s="3" t="s">
        <v>16</v>
      </c>
      <c r="E7" s="11">
        <f>B9</f>
        <v>0</v>
      </c>
      <c r="F7" s="3" t="s">
        <v>17</v>
      </c>
      <c r="G7" s="3"/>
      <c r="H7" s="3"/>
      <c r="I7" s="3"/>
      <c r="J7" s="3"/>
      <c r="K7" s="3"/>
    </row>
    <row r="8" spans="1:11" ht="55.8">
      <c r="A8" s="3" t="s">
        <v>18</v>
      </c>
      <c r="B8" s="3">
        <f>COUNTIF(A13:A37,"?*")</f>
        <v>0</v>
      </c>
      <c r="C8" s="3"/>
      <c r="D8" s="22" t="s">
        <v>19</v>
      </c>
      <c r="E8" s="21">
        <f>IF(AND(B8&lt;5,E4=0,E5=0),0,E4+E5+E7)</f>
        <v>0</v>
      </c>
      <c r="F8" s="22" t="s">
        <v>20</v>
      </c>
      <c r="G8" s="3"/>
      <c r="H8" s="3"/>
      <c r="I8" s="3"/>
      <c r="J8" s="3"/>
      <c r="K8" s="3"/>
    </row>
    <row r="9" spans="1:11" ht="41.4">
      <c r="A9" s="3" t="s">
        <v>21</v>
      </c>
      <c r="B9" s="3">
        <f>IF(B8&gt;=10,1,IF(B8&gt;=5,0.5,0))</f>
        <v>0</v>
      </c>
      <c r="C9" s="3"/>
      <c r="D9" s="22" t="s">
        <v>22</v>
      </c>
      <c r="E9" s="22" t="str">
        <f>IF(E8&gt;1.5,"Alto risco","Baixo risco")</f>
        <v>Baixo risco</v>
      </c>
      <c r="F9" s="22" t="s">
        <v>23</v>
      </c>
      <c r="G9" s="3"/>
      <c r="H9" s="3"/>
      <c r="I9" s="3"/>
      <c r="J9" s="3"/>
      <c r="K9" s="3"/>
    </row>
    <row r="10" spans="1:11" ht="69">
      <c r="A10" s="8"/>
      <c r="B10" s="8"/>
      <c r="C10" s="8"/>
      <c r="D10" s="22" t="s">
        <v>24</v>
      </c>
      <c r="E10" s="22" t="str">
        <f>IF(E8&gt;1.5,"Necessidade de revisão da farmacoterapia","Sem indicação prioritária de revisão pelo FPRS")</f>
        <v>Sem indicação prioritária de revisão pelo FPRS</v>
      </c>
      <c r="F10" s="22" t="s">
        <v>25</v>
      </c>
      <c r="G10" s="8"/>
      <c r="H10" s="8"/>
      <c r="I10" s="8"/>
      <c r="J10" s="8"/>
      <c r="K10" s="8"/>
    </row>
    <row r="11" spans="1:11">
      <c r="A11" s="27" t="s">
        <v>26</v>
      </c>
      <c r="B11" s="27"/>
      <c r="C11" s="27"/>
      <c r="D11" s="27" t="s">
        <v>27</v>
      </c>
      <c r="E11" s="27" t="str">
        <f>IF(AND(B8&lt;5,E4=0,E5=0),"Ativa","Não aplicável")</f>
        <v>Ativa</v>
      </c>
      <c r="F11" s="27" t="s">
        <v>28</v>
      </c>
      <c r="G11" s="27"/>
      <c r="H11" s="27"/>
      <c r="I11" s="28"/>
      <c r="J11" s="28"/>
      <c r="K11" s="28"/>
    </row>
    <row r="12" spans="1:11" ht="41.4">
      <c r="A12" s="20" t="s">
        <v>29</v>
      </c>
      <c r="B12" s="20" t="s">
        <v>30</v>
      </c>
      <c r="C12" s="20" t="s">
        <v>31</v>
      </c>
      <c r="D12" s="20" t="s">
        <v>32</v>
      </c>
      <c r="E12" s="20" t="s">
        <v>33</v>
      </c>
      <c r="F12" s="20" t="s">
        <v>34</v>
      </c>
      <c r="G12" s="20" t="s">
        <v>35</v>
      </c>
      <c r="H12" s="20" t="s">
        <v>36</v>
      </c>
      <c r="I12" s="20" t="s">
        <v>37</v>
      </c>
      <c r="J12" s="20" t="s">
        <v>38</v>
      </c>
      <c r="K12" s="20" t="s">
        <v>39</v>
      </c>
    </row>
    <row r="13" spans="1:11" ht="16.05" customHeight="1">
      <c r="A13" s="25"/>
      <c r="B13" s="26" t="str">
        <f>IF(A13="","",IFERROR(VLOOKUP(LOWER(TRIM(A13)),Alias_Map!$A$2:$B$651,2,FALSE),LOWER(TRIM(A13))))</f>
        <v/>
      </c>
      <c r="C13" s="26" t="str">
        <f>IF(A13="","",IF(ISERROR(VLOOKUP(B13,Base_Fixa!$A$2:$I$600,1,FALSE)),"Não","Sim"))</f>
        <v/>
      </c>
      <c r="D13" s="26" t="str">
        <f>IF(A13="","",IF(C13&lt;&gt;"Sim",0,VLOOKUP(B13,Base_Fixa!$A$2:$I$600,3,FALSE)))</f>
        <v/>
      </c>
      <c r="E13" s="26" t="str">
        <f>IF(A13="","",IF(C13&lt;&gt;"Sim","",VLOOKUP(B13,Base_Fixa!$A$2:$I$600,5,FALSE)))</f>
        <v/>
      </c>
      <c r="F13" s="26" t="str">
        <f>IF(A13="","",IF(C13&lt;&gt;"Sim","",VLOOKUP(B13,Base_Fixa!$A$2:$I$600,7,FALSE)))</f>
        <v/>
      </c>
      <c r="G13" s="26" t="str">
        <f>IF(A13="","",IF(C13&lt;&gt;"Sim",0,VLOOKUP(B13,Base_Fixa!$A$2:$I$600,8,FALSE)))</f>
        <v/>
      </c>
      <c r="H13" s="26" t="str">
        <f>IF(A13="","",IF(COUNTIF($B$13:B13,B13)=1,G13,0))</f>
        <v/>
      </c>
      <c r="I13" s="26" t="str">
        <f>IF(A13="","",IF(AND(D13=1,G13=0,COUNTIFS($B$13:B13,B13,$D$13:D13,1,$G$13:G13,0)=1),Parameters!$B$8,0))</f>
        <v/>
      </c>
      <c r="J13" s="26" t="str">
        <f t="shared" ref="J13:J37" si="0">IF(A13="","",H13+I13)</f>
        <v/>
      </c>
      <c r="K13" s="26" t="str">
        <f t="shared" ref="K13:K37" si="1">IF(A13="","",IF(C13&lt;&gt;"Sim","Revisar grafia/nome genérico ou inserir na Base_Fixa",IF(J13=0,"Sem contribuição adicional ou duplicado",IF(I13&gt;0,"PIM/Beers adicional","Pontuado por afinidade AC/sedativa"))))</f>
        <v/>
      </c>
    </row>
    <row r="14" spans="1:11" ht="16.05" customHeight="1">
      <c r="A14" s="25"/>
      <c r="B14" s="26" t="str">
        <f>IF(A14="","",IFERROR(VLOOKUP(LOWER(TRIM(A14)),Alias_Map!$A$2:$B$651,2,FALSE),LOWER(TRIM(A14))))</f>
        <v/>
      </c>
      <c r="C14" s="26" t="str">
        <f>IF(A14="","",IF(ISERROR(VLOOKUP(B14,Base_Fixa!$A$2:$I$600,1,FALSE)),"Não","Sim"))</f>
        <v/>
      </c>
      <c r="D14" s="26" t="str">
        <f>IF(A14="","",IF(C14&lt;&gt;"Sim",0,VLOOKUP(B14,Base_Fixa!$A$2:$I$600,3,FALSE)))</f>
        <v/>
      </c>
      <c r="E14" s="26" t="str">
        <f>IF(A14="","",IF(C14&lt;&gt;"Sim","",VLOOKUP(B14,Base_Fixa!$A$2:$I$600,5,FALSE)))</f>
        <v/>
      </c>
      <c r="F14" s="26" t="str">
        <f>IF(A14="","",IF(C14&lt;&gt;"Sim","",VLOOKUP(B14,Base_Fixa!$A$2:$I$600,7,FALSE)))</f>
        <v/>
      </c>
      <c r="G14" s="26" t="str">
        <f>IF(A14="","",IF(C14&lt;&gt;"Sim",0,VLOOKUP(B14,Base_Fixa!$A$2:$I$600,8,FALSE)))</f>
        <v/>
      </c>
      <c r="H14" s="26" t="str">
        <f>IF(A14="","",IF(COUNTIF($B$13:B14,B14)=1,G14,0))</f>
        <v/>
      </c>
      <c r="I14" s="26" t="str">
        <f>IF(A14="","",IF(AND(D14=1,G14=0,COUNTIFS($B$13:B14,B14,$D$13:D14,1,$G$13:G14,0)=1),Parameters!$B$8,0))</f>
        <v/>
      </c>
      <c r="J14" s="26" t="str">
        <f t="shared" si="0"/>
        <v/>
      </c>
      <c r="K14" s="26" t="str">
        <f t="shared" si="1"/>
        <v/>
      </c>
    </row>
    <row r="15" spans="1:11" ht="16.05" customHeight="1">
      <c r="A15" s="25"/>
      <c r="B15" s="26" t="str">
        <f>IF(A15="","",IFERROR(VLOOKUP(LOWER(TRIM(A15)),Alias_Map!$A$2:$B$651,2,FALSE),LOWER(TRIM(A15))))</f>
        <v/>
      </c>
      <c r="C15" s="26" t="str">
        <f>IF(A15="","",IF(ISERROR(VLOOKUP(B15,Base_Fixa!$A$2:$I$600,1,FALSE)),"Não","Sim"))</f>
        <v/>
      </c>
      <c r="D15" s="26" t="str">
        <f>IF(A15="","",IF(C15&lt;&gt;"Sim",0,VLOOKUP(B15,Base_Fixa!$A$2:$I$600,3,FALSE)))</f>
        <v/>
      </c>
      <c r="E15" s="26" t="str">
        <f>IF(A15="","",IF(C15&lt;&gt;"Sim","",VLOOKUP(B15,Base_Fixa!$A$2:$I$600,5,FALSE)))</f>
        <v/>
      </c>
      <c r="F15" s="26" t="str">
        <f>IF(A15="","",IF(C15&lt;&gt;"Sim","",VLOOKUP(B15,Base_Fixa!$A$2:$I$600,7,FALSE)))</f>
        <v/>
      </c>
      <c r="G15" s="26" t="str">
        <f>IF(A15="","",IF(C15&lt;&gt;"Sim",0,VLOOKUP(B15,Base_Fixa!$A$2:$I$600,8,FALSE)))</f>
        <v/>
      </c>
      <c r="H15" s="26" t="str">
        <f>IF(A15="","",IF(COUNTIF($B$13:B15,B15)=1,G15,0))</f>
        <v/>
      </c>
      <c r="I15" s="26" t="str">
        <f>IF(A15="","",IF(AND(D15=1,G15=0,COUNTIFS($B$13:B15,B15,$D$13:D15,1,$G$13:G15,0)=1),Parameters!$B$8,0))</f>
        <v/>
      </c>
      <c r="J15" s="26" t="str">
        <f t="shared" si="0"/>
        <v/>
      </c>
      <c r="K15" s="26" t="str">
        <f t="shared" si="1"/>
        <v/>
      </c>
    </row>
    <row r="16" spans="1:11" ht="16.05" customHeight="1">
      <c r="A16" s="25"/>
      <c r="B16" s="26" t="str">
        <f>IF(A16="","",IFERROR(VLOOKUP(LOWER(TRIM(A16)),Alias_Map!$A$2:$B$651,2,FALSE),LOWER(TRIM(A16))))</f>
        <v/>
      </c>
      <c r="C16" s="26" t="str">
        <f>IF(A16="","",IF(ISERROR(VLOOKUP(B16,Base_Fixa!$A$2:$I$600,1,FALSE)),"Não","Sim"))</f>
        <v/>
      </c>
      <c r="D16" s="26" t="str">
        <f>IF(A16="","",IF(C16&lt;&gt;"Sim",0,VLOOKUP(B16,Base_Fixa!$A$2:$I$600,3,FALSE)))</f>
        <v/>
      </c>
      <c r="E16" s="26" t="str">
        <f>IF(A16="","",IF(C16&lt;&gt;"Sim","",VLOOKUP(B16,Base_Fixa!$A$2:$I$600,5,FALSE)))</f>
        <v/>
      </c>
      <c r="F16" s="26" t="str">
        <f>IF(A16="","",IF(C16&lt;&gt;"Sim","",VLOOKUP(B16,Base_Fixa!$A$2:$I$600,7,FALSE)))</f>
        <v/>
      </c>
      <c r="G16" s="26" t="str">
        <f>IF(A16="","",IF(C16&lt;&gt;"Sim",0,VLOOKUP(B16,Base_Fixa!$A$2:$I$600,8,FALSE)))</f>
        <v/>
      </c>
      <c r="H16" s="26" t="str">
        <f>IF(A16="","",IF(COUNTIF($B$13:B16,B16)=1,G16,0))</f>
        <v/>
      </c>
      <c r="I16" s="26" t="str">
        <f>IF(A16="","",IF(AND(D16=1,G16=0,COUNTIFS($B$13:B16,B16,$D$13:D16,1,$G$13:G16,0)=1),Parameters!$B$8,0))</f>
        <v/>
      </c>
      <c r="J16" s="26" t="str">
        <f t="shared" si="0"/>
        <v/>
      </c>
      <c r="K16" s="26" t="str">
        <f t="shared" si="1"/>
        <v/>
      </c>
    </row>
    <row r="17" spans="1:11" ht="16.05" customHeight="1">
      <c r="A17" s="25"/>
      <c r="B17" s="26" t="str">
        <f>IF(A17="","",IFERROR(VLOOKUP(LOWER(TRIM(A17)),Alias_Map!$A$2:$B$651,2,FALSE),LOWER(TRIM(A17))))</f>
        <v/>
      </c>
      <c r="C17" s="26" t="str">
        <f>IF(A17="","",IF(ISERROR(VLOOKUP(B17,Base_Fixa!$A$2:$I$600,1,FALSE)),"Não","Sim"))</f>
        <v/>
      </c>
      <c r="D17" s="26" t="str">
        <f>IF(A17="","",IF(C17&lt;&gt;"Sim",0,VLOOKUP(B17,Base_Fixa!$A$2:$I$600,3,FALSE)))</f>
        <v/>
      </c>
      <c r="E17" s="26" t="str">
        <f>IF(A17="","",IF(C17&lt;&gt;"Sim","",VLOOKUP(B17,Base_Fixa!$A$2:$I$600,5,FALSE)))</f>
        <v/>
      </c>
      <c r="F17" s="26" t="str">
        <f>IF(A17="","",IF(C17&lt;&gt;"Sim","",VLOOKUP(B17,Base_Fixa!$A$2:$I$600,7,FALSE)))</f>
        <v/>
      </c>
      <c r="G17" s="26" t="str">
        <f>IF(A17="","",IF(C17&lt;&gt;"Sim",0,VLOOKUP(B17,Base_Fixa!$A$2:$I$600,8,FALSE)))</f>
        <v/>
      </c>
      <c r="H17" s="26" t="str">
        <f>IF(A17="","",IF(COUNTIF($B$13:B17,B17)=1,G17,0))</f>
        <v/>
      </c>
      <c r="I17" s="26" t="str">
        <f>IF(A17="","",IF(AND(D17=1,G17=0,COUNTIFS($B$13:B17,B17,$D$13:D17,1,$G$13:G17,0)=1),Parameters!$B$8,0))</f>
        <v/>
      </c>
      <c r="J17" s="26" t="str">
        <f t="shared" si="0"/>
        <v/>
      </c>
      <c r="K17" s="26" t="str">
        <f t="shared" si="1"/>
        <v/>
      </c>
    </row>
    <row r="18" spans="1:11" ht="16.05" customHeight="1">
      <c r="A18" s="25"/>
      <c r="B18" s="26" t="str">
        <f>IF(A18="","",IFERROR(VLOOKUP(LOWER(TRIM(A18)),Alias_Map!$A$2:$B$651,2,FALSE),LOWER(TRIM(A18))))</f>
        <v/>
      </c>
      <c r="C18" s="26" t="str">
        <f>IF(A18="","",IF(ISERROR(VLOOKUP(B18,Base_Fixa!$A$2:$I$600,1,FALSE)),"Não","Sim"))</f>
        <v/>
      </c>
      <c r="D18" s="26" t="str">
        <f>IF(A18="","",IF(C18&lt;&gt;"Sim",0,VLOOKUP(B18,Base_Fixa!$A$2:$I$600,3,FALSE)))</f>
        <v/>
      </c>
      <c r="E18" s="26" t="str">
        <f>IF(A18="","",IF(C18&lt;&gt;"Sim","",VLOOKUP(B18,Base_Fixa!$A$2:$I$600,5,FALSE)))</f>
        <v/>
      </c>
      <c r="F18" s="26" t="str">
        <f>IF(A18="","",IF(C18&lt;&gt;"Sim","",VLOOKUP(B18,Base_Fixa!$A$2:$I$600,7,FALSE)))</f>
        <v/>
      </c>
      <c r="G18" s="26" t="str">
        <f>IF(A18="","",IF(C18&lt;&gt;"Sim",0,VLOOKUP(B18,Base_Fixa!$A$2:$I$600,8,FALSE)))</f>
        <v/>
      </c>
      <c r="H18" s="26" t="str">
        <f>IF(A18="","",IF(COUNTIF($B$13:B18,B18)=1,G18,0))</f>
        <v/>
      </c>
      <c r="I18" s="26" t="str">
        <f>IF(A18="","",IF(AND(D18=1,G18=0,COUNTIFS($B$13:B18,B18,$D$13:D18,1,$G$13:G18,0)=1),Parameters!$B$8,0))</f>
        <v/>
      </c>
      <c r="J18" s="26" t="str">
        <f t="shared" si="0"/>
        <v/>
      </c>
      <c r="K18" s="26" t="str">
        <f t="shared" si="1"/>
        <v/>
      </c>
    </row>
    <row r="19" spans="1:11" ht="16.05" customHeight="1">
      <c r="A19" s="25"/>
      <c r="B19" s="26" t="str">
        <f>IF(A19="","",IFERROR(VLOOKUP(LOWER(TRIM(A19)),Alias_Map!$A$2:$B$651,2,FALSE),LOWER(TRIM(A19))))</f>
        <v/>
      </c>
      <c r="C19" s="26" t="str">
        <f>IF(A19="","",IF(ISERROR(VLOOKUP(B19,Base_Fixa!$A$2:$I$600,1,FALSE)),"Não","Sim"))</f>
        <v/>
      </c>
      <c r="D19" s="26" t="str">
        <f>IF(A19="","",IF(C19&lt;&gt;"Sim",0,VLOOKUP(B19,Base_Fixa!$A$2:$I$600,3,FALSE)))</f>
        <v/>
      </c>
      <c r="E19" s="26" t="str">
        <f>IF(A19="","",IF(C19&lt;&gt;"Sim","",VLOOKUP(B19,Base_Fixa!$A$2:$I$600,5,FALSE)))</f>
        <v/>
      </c>
      <c r="F19" s="26" t="str">
        <f>IF(A19="","",IF(C19&lt;&gt;"Sim","",VLOOKUP(B19,Base_Fixa!$A$2:$I$600,7,FALSE)))</f>
        <v/>
      </c>
      <c r="G19" s="26" t="str">
        <f>IF(A19="","",IF(C19&lt;&gt;"Sim",0,VLOOKUP(B19,Base_Fixa!$A$2:$I$600,8,FALSE)))</f>
        <v/>
      </c>
      <c r="H19" s="26" t="str">
        <f>IF(A19="","",IF(COUNTIF($B$13:B19,B19)=1,G19,0))</f>
        <v/>
      </c>
      <c r="I19" s="26" t="str">
        <f>IF(A19="","",IF(AND(D19=1,G19=0,COUNTIFS($B$13:B19,B19,$D$13:D19,1,$G$13:G19,0)=1),Parameters!$B$8,0))</f>
        <v/>
      </c>
      <c r="J19" s="26" t="str">
        <f t="shared" si="0"/>
        <v/>
      </c>
      <c r="K19" s="26" t="str">
        <f t="shared" si="1"/>
        <v/>
      </c>
    </row>
    <row r="20" spans="1:11" ht="16.05" customHeight="1">
      <c r="A20" s="25"/>
      <c r="B20" s="26" t="str">
        <f>IF(A20="","",IFERROR(VLOOKUP(LOWER(TRIM(A20)),Alias_Map!$A$2:$B$651,2,FALSE),LOWER(TRIM(A20))))</f>
        <v/>
      </c>
      <c r="C20" s="26" t="str">
        <f>IF(A20="","",IF(ISERROR(VLOOKUP(B20,Base_Fixa!$A$2:$I$600,1,FALSE)),"Não","Sim"))</f>
        <v/>
      </c>
      <c r="D20" s="26" t="str">
        <f>IF(A20="","",IF(C20&lt;&gt;"Sim",0,VLOOKUP(B20,Base_Fixa!$A$2:$I$600,3,FALSE)))</f>
        <v/>
      </c>
      <c r="E20" s="26" t="str">
        <f>IF(A20="","",IF(C20&lt;&gt;"Sim","",VLOOKUP(B20,Base_Fixa!$A$2:$I$600,5,FALSE)))</f>
        <v/>
      </c>
      <c r="F20" s="26" t="str">
        <f>IF(A20="","",IF(C20&lt;&gt;"Sim","",VLOOKUP(B20,Base_Fixa!$A$2:$I$600,7,FALSE)))</f>
        <v/>
      </c>
      <c r="G20" s="26" t="str">
        <f>IF(A20="","",IF(C20&lt;&gt;"Sim",0,VLOOKUP(B20,Base_Fixa!$A$2:$I$600,8,FALSE)))</f>
        <v/>
      </c>
      <c r="H20" s="26" t="str">
        <f>IF(A20="","",IF(COUNTIF($B$13:B20,B20)=1,G20,0))</f>
        <v/>
      </c>
      <c r="I20" s="26" t="str">
        <f>IF(A20="","",IF(AND(D20=1,G20=0,COUNTIFS($B$13:B20,B20,$D$13:D20,1,$G$13:G20,0)=1),Parameters!$B$8,0))</f>
        <v/>
      </c>
      <c r="J20" s="26" t="str">
        <f t="shared" si="0"/>
        <v/>
      </c>
      <c r="K20" s="26" t="str">
        <f t="shared" si="1"/>
        <v/>
      </c>
    </row>
    <row r="21" spans="1:11" ht="16.05" customHeight="1">
      <c r="A21" s="25"/>
      <c r="B21" s="26" t="str">
        <f>IF(A21="","",IFERROR(VLOOKUP(LOWER(TRIM(A21)),Alias_Map!$A$2:$B$651,2,FALSE),LOWER(TRIM(A21))))</f>
        <v/>
      </c>
      <c r="C21" s="26" t="str">
        <f>IF(A21="","",IF(ISERROR(VLOOKUP(B21,Base_Fixa!$A$2:$I$600,1,FALSE)),"Não","Sim"))</f>
        <v/>
      </c>
      <c r="D21" s="26" t="str">
        <f>IF(A21="","",IF(C21&lt;&gt;"Sim",0,VLOOKUP(B21,Base_Fixa!$A$2:$I$600,3,FALSE)))</f>
        <v/>
      </c>
      <c r="E21" s="26" t="str">
        <f>IF(A21="","",IF(C21&lt;&gt;"Sim","",VLOOKUP(B21,Base_Fixa!$A$2:$I$600,5,FALSE)))</f>
        <v/>
      </c>
      <c r="F21" s="26" t="str">
        <f>IF(A21="","",IF(C21&lt;&gt;"Sim","",VLOOKUP(B21,Base_Fixa!$A$2:$I$600,7,FALSE)))</f>
        <v/>
      </c>
      <c r="G21" s="26" t="str">
        <f>IF(A21="","",IF(C21&lt;&gt;"Sim",0,VLOOKUP(B21,Base_Fixa!$A$2:$I$600,8,FALSE)))</f>
        <v/>
      </c>
      <c r="H21" s="26" t="str">
        <f>IF(A21="","",IF(COUNTIF($B$13:B21,B21)=1,G21,0))</f>
        <v/>
      </c>
      <c r="I21" s="26" t="str">
        <f>IF(A21="","",IF(AND(D21=1,G21=0,COUNTIFS($B$13:B21,B21,$D$13:D21,1,$G$13:G21,0)=1),Parameters!$B$8,0))</f>
        <v/>
      </c>
      <c r="J21" s="26" t="str">
        <f t="shared" si="0"/>
        <v/>
      </c>
      <c r="K21" s="26" t="str">
        <f t="shared" si="1"/>
        <v/>
      </c>
    </row>
    <row r="22" spans="1:11" ht="16.05" customHeight="1">
      <c r="A22" s="25"/>
      <c r="B22" s="26" t="str">
        <f>IF(A22="","",IFERROR(VLOOKUP(LOWER(TRIM(A22)),Alias_Map!$A$2:$B$651,2,FALSE),LOWER(TRIM(A22))))</f>
        <v/>
      </c>
      <c r="C22" s="26" t="str">
        <f>IF(A22="","",IF(ISERROR(VLOOKUP(B22,Base_Fixa!$A$2:$I$600,1,FALSE)),"Não","Sim"))</f>
        <v/>
      </c>
      <c r="D22" s="26" t="str">
        <f>IF(A22="","",IF(C22&lt;&gt;"Sim",0,VLOOKUP(B22,Base_Fixa!$A$2:$I$600,3,FALSE)))</f>
        <v/>
      </c>
      <c r="E22" s="26" t="str">
        <f>IF(A22="","",IF(C22&lt;&gt;"Sim","",VLOOKUP(B22,Base_Fixa!$A$2:$I$600,5,FALSE)))</f>
        <v/>
      </c>
      <c r="F22" s="26" t="str">
        <f>IF(A22="","",IF(C22&lt;&gt;"Sim","",VLOOKUP(B22,Base_Fixa!$A$2:$I$600,7,FALSE)))</f>
        <v/>
      </c>
      <c r="G22" s="26" t="str">
        <f>IF(A22="","",IF(C22&lt;&gt;"Sim",0,VLOOKUP(B22,Base_Fixa!$A$2:$I$600,8,FALSE)))</f>
        <v/>
      </c>
      <c r="H22" s="26" t="str">
        <f>IF(A22="","",IF(COUNTIF($B$13:B22,B22)=1,G22,0))</f>
        <v/>
      </c>
      <c r="I22" s="26" t="str">
        <f>IF(A22="","",IF(AND(D22=1,G22=0,COUNTIFS($B$13:B22,B22,$D$13:D22,1,$G$13:G22,0)=1),Parameters!$B$8,0))</f>
        <v/>
      </c>
      <c r="J22" s="26" t="str">
        <f t="shared" si="0"/>
        <v/>
      </c>
      <c r="K22" s="26" t="str">
        <f t="shared" si="1"/>
        <v/>
      </c>
    </row>
    <row r="23" spans="1:11" ht="16.05" customHeight="1">
      <c r="A23" s="25"/>
      <c r="B23" s="26" t="str">
        <f>IF(A23="","",IFERROR(VLOOKUP(LOWER(TRIM(A23)),Alias_Map!$A$2:$B$651,2,FALSE),LOWER(TRIM(A23))))</f>
        <v/>
      </c>
      <c r="C23" s="26" t="str">
        <f>IF(A23="","",IF(ISERROR(VLOOKUP(B23,Base_Fixa!$A$2:$I$600,1,FALSE)),"Não","Sim"))</f>
        <v/>
      </c>
      <c r="D23" s="26" t="str">
        <f>IF(A23="","",IF(C23&lt;&gt;"Sim",0,VLOOKUP(B23,Base_Fixa!$A$2:$I$600,3,FALSE)))</f>
        <v/>
      </c>
      <c r="E23" s="26" t="str">
        <f>IF(A23="","",IF(C23&lt;&gt;"Sim","",VLOOKUP(B23,Base_Fixa!$A$2:$I$600,5,FALSE)))</f>
        <v/>
      </c>
      <c r="F23" s="26" t="str">
        <f>IF(A23="","",IF(C23&lt;&gt;"Sim","",VLOOKUP(B23,Base_Fixa!$A$2:$I$600,7,FALSE)))</f>
        <v/>
      </c>
      <c r="G23" s="26" t="str">
        <f>IF(A23="","",IF(C23&lt;&gt;"Sim",0,VLOOKUP(B23,Base_Fixa!$A$2:$I$600,8,FALSE)))</f>
        <v/>
      </c>
      <c r="H23" s="26" t="str">
        <f>IF(A23="","",IF(COUNTIF($B$13:B23,B23)=1,G23,0))</f>
        <v/>
      </c>
      <c r="I23" s="26" t="str">
        <f>IF(A23="","",IF(AND(D23=1,G23=0,COUNTIFS($B$13:B23,B23,$D$13:D23,1,$G$13:G23,0)=1),Parameters!$B$8,0))</f>
        <v/>
      </c>
      <c r="J23" s="26" t="str">
        <f t="shared" si="0"/>
        <v/>
      </c>
      <c r="K23" s="26" t="str">
        <f t="shared" si="1"/>
        <v/>
      </c>
    </row>
    <row r="24" spans="1:11" ht="16.05" customHeight="1">
      <c r="A24" s="25"/>
      <c r="B24" s="26" t="str">
        <f>IF(A24="","",IFERROR(VLOOKUP(LOWER(TRIM(A24)),Alias_Map!$A$2:$B$651,2,FALSE),LOWER(TRIM(A24))))</f>
        <v/>
      </c>
      <c r="C24" s="26" t="str">
        <f>IF(A24="","",IF(ISERROR(VLOOKUP(B24,Base_Fixa!$A$2:$I$600,1,FALSE)),"Não","Sim"))</f>
        <v/>
      </c>
      <c r="D24" s="26" t="str">
        <f>IF(A24="","",IF(C24&lt;&gt;"Sim",0,VLOOKUP(B24,Base_Fixa!$A$2:$I$600,3,FALSE)))</f>
        <v/>
      </c>
      <c r="E24" s="26" t="str">
        <f>IF(A24="","",IF(C24&lt;&gt;"Sim","",VLOOKUP(B24,Base_Fixa!$A$2:$I$600,5,FALSE)))</f>
        <v/>
      </c>
      <c r="F24" s="26" t="str">
        <f>IF(A24="","",IF(C24&lt;&gt;"Sim","",VLOOKUP(B24,Base_Fixa!$A$2:$I$600,7,FALSE)))</f>
        <v/>
      </c>
      <c r="G24" s="26" t="str">
        <f>IF(A24="","",IF(C24&lt;&gt;"Sim",0,VLOOKUP(B24,Base_Fixa!$A$2:$I$600,8,FALSE)))</f>
        <v/>
      </c>
      <c r="H24" s="26" t="str">
        <f>IF(A24="","",IF(COUNTIF($B$13:B24,B24)=1,G24,0))</f>
        <v/>
      </c>
      <c r="I24" s="26" t="str">
        <f>IF(A24="","",IF(AND(D24=1,G24=0,COUNTIFS($B$13:B24,B24,$D$13:D24,1,$G$13:G24,0)=1),Parameters!$B$8,0))</f>
        <v/>
      </c>
      <c r="J24" s="26" t="str">
        <f t="shared" si="0"/>
        <v/>
      </c>
      <c r="K24" s="26" t="str">
        <f t="shared" si="1"/>
        <v/>
      </c>
    </row>
    <row r="25" spans="1:11" ht="16.05" customHeight="1">
      <c r="A25" s="25"/>
      <c r="B25" s="26" t="str">
        <f>IF(A25="","",IFERROR(VLOOKUP(LOWER(TRIM(A25)),Alias_Map!$A$2:$B$651,2,FALSE),LOWER(TRIM(A25))))</f>
        <v/>
      </c>
      <c r="C25" s="26" t="str">
        <f>IF(A25="","",IF(ISERROR(VLOOKUP(B25,Base_Fixa!$A$2:$I$600,1,FALSE)),"Não","Sim"))</f>
        <v/>
      </c>
      <c r="D25" s="26" t="str">
        <f>IF(A25="","",IF(C25&lt;&gt;"Sim",0,VLOOKUP(B25,Base_Fixa!$A$2:$I$600,3,FALSE)))</f>
        <v/>
      </c>
      <c r="E25" s="26" t="str">
        <f>IF(A25="","",IF(C25&lt;&gt;"Sim","",VLOOKUP(B25,Base_Fixa!$A$2:$I$600,5,FALSE)))</f>
        <v/>
      </c>
      <c r="F25" s="26" t="str">
        <f>IF(A25="","",IF(C25&lt;&gt;"Sim","",VLOOKUP(B25,Base_Fixa!$A$2:$I$600,7,FALSE)))</f>
        <v/>
      </c>
      <c r="G25" s="26" t="str">
        <f>IF(A25="","",IF(C25&lt;&gt;"Sim",0,VLOOKUP(B25,Base_Fixa!$A$2:$I$600,8,FALSE)))</f>
        <v/>
      </c>
      <c r="H25" s="26" t="str">
        <f>IF(A25="","",IF(COUNTIF($B$13:B25,B25)=1,G25,0))</f>
        <v/>
      </c>
      <c r="I25" s="26" t="str">
        <f>IF(A25="","",IF(AND(D25=1,G25=0,COUNTIFS($B$13:B25,B25,$D$13:D25,1,$G$13:G25,0)=1),Parameters!$B$8,0))</f>
        <v/>
      </c>
      <c r="J25" s="26" t="str">
        <f t="shared" si="0"/>
        <v/>
      </c>
      <c r="K25" s="26" t="str">
        <f t="shared" si="1"/>
        <v/>
      </c>
    </row>
    <row r="26" spans="1:11" ht="16.05" customHeight="1">
      <c r="A26" s="25"/>
      <c r="B26" s="26" t="str">
        <f>IF(A26="","",IFERROR(VLOOKUP(LOWER(TRIM(A26)),Alias_Map!$A$2:$B$651,2,FALSE),LOWER(TRIM(A26))))</f>
        <v/>
      </c>
      <c r="C26" s="26" t="str">
        <f>IF(A26="","",IF(ISERROR(VLOOKUP(B26,Base_Fixa!$A$2:$I$600,1,FALSE)),"Não","Sim"))</f>
        <v/>
      </c>
      <c r="D26" s="26" t="str">
        <f>IF(A26="","",IF(C26&lt;&gt;"Sim",0,VLOOKUP(B26,Base_Fixa!$A$2:$I$600,3,FALSE)))</f>
        <v/>
      </c>
      <c r="E26" s="26" t="str">
        <f>IF(A26="","",IF(C26&lt;&gt;"Sim","",VLOOKUP(B26,Base_Fixa!$A$2:$I$600,5,FALSE)))</f>
        <v/>
      </c>
      <c r="F26" s="26" t="str">
        <f>IF(A26="","",IF(C26&lt;&gt;"Sim","",VLOOKUP(B26,Base_Fixa!$A$2:$I$600,7,FALSE)))</f>
        <v/>
      </c>
      <c r="G26" s="26" t="str">
        <f>IF(A26="","",IF(C26&lt;&gt;"Sim",0,VLOOKUP(B26,Base_Fixa!$A$2:$I$600,8,FALSE)))</f>
        <v/>
      </c>
      <c r="H26" s="26" t="str">
        <f>IF(A26="","",IF(COUNTIF($B$13:B26,B26)=1,G26,0))</f>
        <v/>
      </c>
      <c r="I26" s="26" t="str">
        <f>IF(A26="","",IF(AND(D26=1,G26=0,COUNTIFS($B$13:B26,B26,$D$13:D26,1,$G$13:G26,0)=1),Parameters!$B$8,0))</f>
        <v/>
      </c>
      <c r="J26" s="26" t="str">
        <f t="shared" si="0"/>
        <v/>
      </c>
      <c r="K26" s="26" t="str">
        <f t="shared" si="1"/>
        <v/>
      </c>
    </row>
    <row r="27" spans="1:11" ht="16.05" customHeight="1">
      <c r="A27" s="25"/>
      <c r="B27" s="26" t="str">
        <f>IF(A27="","",IFERROR(VLOOKUP(LOWER(TRIM(A27)),Alias_Map!$A$2:$B$651,2,FALSE),LOWER(TRIM(A27))))</f>
        <v/>
      </c>
      <c r="C27" s="26" t="str">
        <f>IF(A27="","",IF(ISERROR(VLOOKUP(B27,Base_Fixa!$A$2:$I$600,1,FALSE)),"Não","Sim"))</f>
        <v/>
      </c>
      <c r="D27" s="26" t="str">
        <f>IF(A27="","",IF(C27&lt;&gt;"Sim",0,VLOOKUP(B27,Base_Fixa!$A$2:$I$600,3,FALSE)))</f>
        <v/>
      </c>
      <c r="E27" s="26" t="str">
        <f>IF(A27="","",IF(C27&lt;&gt;"Sim","",VLOOKUP(B27,Base_Fixa!$A$2:$I$600,5,FALSE)))</f>
        <v/>
      </c>
      <c r="F27" s="26" t="str">
        <f>IF(A27="","",IF(C27&lt;&gt;"Sim","",VLOOKUP(B27,Base_Fixa!$A$2:$I$600,7,FALSE)))</f>
        <v/>
      </c>
      <c r="G27" s="26" t="str">
        <f>IF(A27="","",IF(C27&lt;&gt;"Sim",0,VLOOKUP(B27,Base_Fixa!$A$2:$I$600,8,FALSE)))</f>
        <v/>
      </c>
      <c r="H27" s="26" t="str">
        <f>IF(A27="","",IF(COUNTIF($B$13:B27,B27)=1,G27,0))</f>
        <v/>
      </c>
      <c r="I27" s="26" t="str">
        <f>IF(A27="","",IF(AND(D27=1,G27=0,COUNTIFS($B$13:B27,B27,$D$13:D27,1,$G$13:G27,0)=1),Parameters!$B$8,0))</f>
        <v/>
      </c>
      <c r="J27" s="26" t="str">
        <f t="shared" si="0"/>
        <v/>
      </c>
      <c r="K27" s="26" t="str">
        <f t="shared" si="1"/>
        <v/>
      </c>
    </row>
    <row r="28" spans="1:11" ht="16.05" customHeight="1">
      <c r="A28" s="25"/>
      <c r="B28" s="26" t="str">
        <f>IF(A28="","",IFERROR(VLOOKUP(LOWER(TRIM(A28)),Alias_Map!$A$2:$B$651,2,FALSE),LOWER(TRIM(A28))))</f>
        <v/>
      </c>
      <c r="C28" s="26" t="str">
        <f>IF(A28="","",IF(ISERROR(VLOOKUP(B28,Base_Fixa!$A$2:$I$600,1,FALSE)),"Não","Sim"))</f>
        <v/>
      </c>
      <c r="D28" s="26" t="str">
        <f>IF(A28="","",IF(C28&lt;&gt;"Sim",0,VLOOKUP(B28,Base_Fixa!$A$2:$I$600,3,FALSE)))</f>
        <v/>
      </c>
      <c r="E28" s="26" t="str">
        <f>IF(A28="","",IF(C28&lt;&gt;"Sim","",VLOOKUP(B28,Base_Fixa!$A$2:$I$600,5,FALSE)))</f>
        <v/>
      </c>
      <c r="F28" s="26" t="str">
        <f>IF(A28="","",IF(C28&lt;&gt;"Sim","",VLOOKUP(B28,Base_Fixa!$A$2:$I$600,7,FALSE)))</f>
        <v/>
      </c>
      <c r="G28" s="26" t="str">
        <f>IF(A28="","",IF(C28&lt;&gt;"Sim",0,VLOOKUP(B28,Base_Fixa!$A$2:$I$600,8,FALSE)))</f>
        <v/>
      </c>
      <c r="H28" s="26" t="str">
        <f>IF(A28="","",IF(COUNTIF($B$13:B28,B28)=1,G28,0))</f>
        <v/>
      </c>
      <c r="I28" s="26" t="str">
        <f>IF(A28="","",IF(AND(D28=1,G28=0,COUNTIFS($B$13:B28,B28,$D$13:D28,1,$G$13:G28,0)=1),Parameters!$B$8,0))</f>
        <v/>
      </c>
      <c r="J28" s="26" t="str">
        <f t="shared" si="0"/>
        <v/>
      </c>
      <c r="K28" s="26" t="str">
        <f t="shared" si="1"/>
        <v/>
      </c>
    </row>
    <row r="29" spans="1:11" ht="16.05" customHeight="1">
      <c r="A29" s="25"/>
      <c r="B29" s="26" t="str">
        <f>IF(A29="","",IFERROR(VLOOKUP(LOWER(TRIM(A29)),Alias_Map!$A$2:$B$651,2,FALSE),LOWER(TRIM(A29))))</f>
        <v/>
      </c>
      <c r="C29" s="26" t="str">
        <f>IF(A29="","",IF(ISERROR(VLOOKUP(B29,Base_Fixa!$A$2:$I$600,1,FALSE)),"Não","Sim"))</f>
        <v/>
      </c>
      <c r="D29" s="26" t="str">
        <f>IF(A29="","",IF(C29&lt;&gt;"Sim",0,VLOOKUP(B29,Base_Fixa!$A$2:$I$600,3,FALSE)))</f>
        <v/>
      </c>
      <c r="E29" s="26" t="str">
        <f>IF(A29="","",IF(C29&lt;&gt;"Sim","",VLOOKUP(B29,Base_Fixa!$A$2:$I$600,5,FALSE)))</f>
        <v/>
      </c>
      <c r="F29" s="26" t="str">
        <f>IF(A29="","",IF(C29&lt;&gt;"Sim","",VLOOKUP(B29,Base_Fixa!$A$2:$I$600,7,FALSE)))</f>
        <v/>
      </c>
      <c r="G29" s="26" t="str">
        <f>IF(A29="","",IF(C29&lt;&gt;"Sim",0,VLOOKUP(B29,Base_Fixa!$A$2:$I$600,8,FALSE)))</f>
        <v/>
      </c>
      <c r="H29" s="26" t="str">
        <f>IF(A29="","",IF(COUNTIF($B$13:B29,B29)=1,G29,0))</f>
        <v/>
      </c>
      <c r="I29" s="26" t="str">
        <f>IF(A29="","",IF(AND(D29=1,G29=0,COUNTIFS($B$13:B29,B29,$D$13:D29,1,$G$13:G29,0)=1),Parameters!$B$8,0))</f>
        <v/>
      </c>
      <c r="J29" s="26" t="str">
        <f t="shared" si="0"/>
        <v/>
      </c>
      <c r="K29" s="26" t="str">
        <f t="shared" si="1"/>
        <v/>
      </c>
    </row>
    <row r="30" spans="1:11" ht="16.05" customHeight="1">
      <c r="A30" s="25"/>
      <c r="B30" s="26" t="str">
        <f>IF(A30="","",IFERROR(VLOOKUP(LOWER(TRIM(A30)),Alias_Map!$A$2:$B$651,2,FALSE),LOWER(TRIM(A30))))</f>
        <v/>
      </c>
      <c r="C30" s="26" t="str">
        <f>IF(A30="","",IF(ISERROR(VLOOKUP(B30,Base_Fixa!$A$2:$I$600,1,FALSE)),"Não","Sim"))</f>
        <v/>
      </c>
      <c r="D30" s="26" t="str">
        <f>IF(A30="","",IF(C30&lt;&gt;"Sim",0,VLOOKUP(B30,Base_Fixa!$A$2:$I$600,3,FALSE)))</f>
        <v/>
      </c>
      <c r="E30" s="26" t="str">
        <f>IF(A30="","",IF(C30&lt;&gt;"Sim","",VLOOKUP(B30,Base_Fixa!$A$2:$I$600,5,FALSE)))</f>
        <v/>
      </c>
      <c r="F30" s="26" t="str">
        <f>IF(A30="","",IF(C30&lt;&gt;"Sim","",VLOOKUP(B30,Base_Fixa!$A$2:$I$600,7,FALSE)))</f>
        <v/>
      </c>
      <c r="G30" s="26" t="str">
        <f>IF(A30="","",IF(C30&lt;&gt;"Sim",0,VLOOKUP(B30,Base_Fixa!$A$2:$I$600,8,FALSE)))</f>
        <v/>
      </c>
      <c r="H30" s="26" t="str">
        <f>IF(A30="","",IF(COUNTIF($B$13:B30,B30)=1,G30,0))</f>
        <v/>
      </c>
      <c r="I30" s="26" t="str">
        <f>IF(A30="","",IF(AND(D30=1,G30=0,COUNTIFS($B$13:B30,B30,$D$13:D30,1,$G$13:G30,0)=1),Parameters!$B$8,0))</f>
        <v/>
      </c>
      <c r="J30" s="26" t="str">
        <f t="shared" si="0"/>
        <v/>
      </c>
      <c r="K30" s="26" t="str">
        <f t="shared" si="1"/>
        <v/>
      </c>
    </row>
    <row r="31" spans="1:11" ht="16.05" customHeight="1">
      <c r="A31" s="25"/>
      <c r="B31" s="26" t="str">
        <f>IF(A31="","",IFERROR(VLOOKUP(LOWER(TRIM(A31)),Alias_Map!$A$2:$B$651,2,FALSE),LOWER(TRIM(A31))))</f>
        <v/>
      </c>
      <c r="C31" s="26" t="str">
        <f>IF(A31="","",IF(ISERROR(VLOOKUP(B31,Base_Fixa!$A$2:$I$600,1,FALSE)),"Não","Sim"))</f>
        <v/>
      </c>
      <c r="D31" s="26" t="str">
        <f>IF(A31="","",IF(C31&lt;&gt;"Sim",0,VLOOKUP(B31,Base_Fixa!$A$2:$I$600,3,FALSE)))</f>
        <v/>
      </c>
      <c r="E31" s="26" t="str">
        <f>IF(A31="","",IF(C31&lt;&gt;"Sim","",VLOOKUP(B31,Base_Fixa!$A$2:$I$600,5,FALSE)))</f>
        <v/>
      </c>
      <c r="F31" s="26" t="str">
        <f>IF(A31="","",IF(C31&lt;&gt;"Sim","",VLOOKUP(B31,Base_Fixa!$A$2:$I$600,7,FALSE)))</f>
        <v/>
      </c>
      <c r="G31" s="26" t="str">
        <f>IF(A31="","",IF(C31&lt;&gt;"Sim",0,VLOOKUP(B31,Base_Fixa!$A$2:$I$600,8,FALSE)))</f>
        <v/>
      </c>
      <c r="H31" s="26" t="str">
        <f>IF(A31="","",IF(COUNTIF($B$13:B31,B31)=1,G31,0))</f>
        <v/>
      </c>
      <c r="I31" s="26" t="str">
        <f>IF(A31="","",IF(AND(D31=1,G31=0,COUNTIFS($B$13:B31,B31,$D$13:D31,1,$G$13:G31,0)=1),Parameters!$B$8,0))</f>
        <v/>
      </c>
      <c r="J31" s="26" t="str">
        <f t="shared" si="0"/>
        <v/>
      </c>
      <c r="K31" s="26" t="str">
        <f t="shared" si="1"/>
        <v/>
      </c>
    </row>
    <row r="32" spans="1:11" ht="16.05" customHeight="1">
      <c r="A32" s="25"/>
      <c r="B32" s="26" t="str">
        <f>IF(A32="","",IFERROR(VLOOKUP(LOWER(TRIM(A32)),Alias_Map!$A$2:$B$651,2,FALSE),LOWER(TRIM(A32))))</f>
        <v/>
      </c>
      <c r="C32" s="26" t="str">
        <f>IF(A32="","",IF(ISERROR(VLOOKUP(B32,Base_Fixa!$A$2:$I$600,1,FALSE)),"Não","Sim"))</f>
        <v/>
      </c>
      <c r="D32" s="26" t="str">
        <f>IF(A32="","",IF(C32&lt;&gt;"Sim",0,VLOOKUP(B32,Base_Fixa!$A$2:$I$600,3,FALSE)))</f>
        <v/>
      </c>
      <c r="E32" s="26" t="str">
        <f>IF(A32="","",IF(C32&lt;&gt;"Sim","",VLOOKUP(B32,Base_Fixa!$A$2:$I$600,5,FALSE)))</f>
        <v/>
      </c>
      <c r="F32" s="26" t="str">
        <f>IF(A32="","",IF(C32&lt;&gt;"Sim","",VLOOKUP(B32,Base_Fixa!$A$2:$I$600,7,FALSE)))</f>
        <v/>
      </c>
      <c r="G32" s="26" t="str">
        <f>IF(A32="","",IF(C32&lt;&gt;"Sim",0,VLOOKUP(B32,Base_Fixa!$A$2:$I$600,8,FALSE)))</f>
        <v/>
      </c>
      <c r="H32" s="26" t="str">
        <f>IF(A32="","",IF(COUNTIF($B$13:B32,B32)=1,G32,0))</f>
        <v/>
      </c>
      <c r="I32" s="26" t="str">
        <f>IF(A32="","",IF(AND(D32=1,G32=0,COUNTIFS($B$13:B32,B32,$D$13:D32,1,$G$13:G32,0)=1),Parameters!$B$8,0))</f>
        <v/>
      </c>
      <c r="J32" s="26" t="str">
        <f t="shared" si="0"/>
        <v/>
      </c>
      <c r="K32" s="26" t="str">
        <f t="shared" si="1"/>
        <v/>
      </c>
    </row>
    <row r="33" spans="1:11" ht="16.05" customHeight="1">
      <c r="A33" s="25"/>
      <c r="B33" s="26" t="str">
        <f>IF(A33="","",IFERROR(VLOOKUP(LOWER(TRIM(A33)),Alias_Map!$A$2:$B$651,2,FALSE),LOWER(TRIM(A33))))</f>
        <v/>
      </c>
      <c r="C33" s="26" t="str">
        <f>IF(A33="","",IF(ISERROR(VLOOKUP(B33,Base_Fixa!$A$2:$I$600,1,FALSE)),"Não","Sim"))</f>
        <v/>
      </c>
      <c r="D33" s="26" t="str">
        <f>IF(A33="","",IF(C33&lt;&gt;"Sim",0,VLOOKUP(B33,Base_Fixa!$A$2:$I$600,3,FALSE)))</f>
        <v/>
      </c>
      <c r="E33" s="26" t="str">
        <f>IF(A33="","",IF(C33&lt;&gt;"Sim","",VLOOKUP(B33,Base_Fixa!$A$2:$I$600,5,FALSE)))</f>
        <v/>
      </c>
      <c r="F33" s="26" t="str">
        <f>IF(A33="","",IF(C33&lt;&gt;"Sim","",VLOOKUP(B33,Base_Fixa!$A$2:$I$600,7,FALSE)))</f>
        <v/>
      </c>
      <c r="G33" s="26" t="str">
        <f>IF(A33="","",IF(C33&lt;&gt;"Sim",0,VLOOKUP(B33,Base_Fixa!$A$2:$I$600,8,FALSE)))</f>
        <v/>
      </c>
      <c r="H33" s="26" t="str">
        <f>IF(A33="","",IF(COUNTIF($B$13:B33,B33)=1,G33,0))</f>
        <v/>
      </c>
      <c r="I33" s="26" t="str">
        <f>IF(A33="","",IF(AND(D33=1,G33=0,COUNTIFS($B$13:B33,B33,$D$13:D33,1,$G$13:G33,0)=1),Parameters!$B$8,0))</f>
        <v/>
      </c>
      <c r="J33" s="26" t="str">
        <f t="shared" si="0"/>
        <v/>
      </c>
      <c r="K33" s="26" t="str">
        <f t="shared" si="1"/>
        <v/>
      </c>
    </row>
    <row r="34" spans="1:11" ht="16.05" customHeight="1">
      <c r="A34" s="25"/>
      <c r="B34" s="26" t="str">
        <f>IF(A34="","",IFERROR(VLOOKUP(LOWER(TRIM(A34)),Alias_Map!$A$2:$B$651,2,FALSE),LOWER(TRIM(A34))))</f>
        <v/>
      </c>
      <c r="C34" s="26" t="str">
        <f>IF(A34="","",IF(ISERROR(VLOOKUP(B34,Base_Fixa!$A$2:$I$600,1,FALSE)),"Não","Sim"))</f>
        <v/>
      </c>
      <c r="D34" s="26" t="str">
        <f>IF(A34="","",IF(C34&lt;&gt;"Sim",0,VLOOKUP(B34,Base_Fixa!$A$2:$I$600,3,FALSE)))</f>
        <v/>
      </c>
      <c r="E34" s="26" t="str">
        <f>IF(A34="","",IF(C34&lt;&gt;"Sim","",VLOOKUP(B34,Base_Fixa!$A$2:$I$600,5,FALSE)))</f>
        <v/>
      </c>
      <c r="F34" s="26" t="str">
        <f>IF(A34="","",IF(C34&lt;&gt;"Sim","",VLOOKUP(B34,Base_Fixa!$A$2:$I$600,7,FALSE)))</f>
        <v/>
      </c>
      <c r="G34" s="26" t="str">
        <f>IF(A34="","",IF(C34&lt;&gt;"Sim",0,VLOOKUP(B34,Base_Fixa!$A$2:$I$600,8,FALSE)))</f>
        <v/>
      </c>
      <c r="H34" s="26" t="str">
        <f>IF(A34="","",IF(COUNTIF($B$13:B34,B34)=1,G34,0))</f>
        <v/>
      </c>
      <c r="I34" s="26" t="str">
        <f>IF(A34="","",IF(AND(D34=1,G34=0,COUNTIFS($B$13:B34,B34,$D$13:D34,1,$G$13:G34,0)=1),Parameters!$B$8,0))</f>
        <v/>
      </c>
      <c r="J34" s="26" t="str">
        <f t="shared" si="0"/>
        <v/>
      </c>
      <c r="K34" s="26" t="str">
        <f t="shared" si="1"/>
        <v/>
      </c>
    </row>
    <row r="35" spans="1:11" ht="16.05" customHeight="1">
      <c r="A35" s="25"/>
      <c r="B35" s="26" t="str">
        <f>IF(A35="","",IFERROR(VLOOKUP(LOWER(TRIM(A35)),Alias_Map!$A$2:$B$651,2,FALSE),LOWER(TRIM(A35))))</f>
        <v/>
      </c>
      <c r="C35" s="26" t="str">
        <f>IF(A35="","",IF(ISERROR(VLOOKUP(B35,Base_Fixa!$A$2:$I$600,1,FALSE)),"Não","Sim"))</f>
        <v/>
      </c>
      <c r="D35" s="26" t="str">
        <f>IF(A35="","",IF(C35&lt;&gt;"Sim",0,VLOOKUP(B35,Base_Fixa!$A$2:$I$600,3,FALSE)))</f>
        <v/>
      </c>
      <c r="E35" s="26" t="str">
        <f>IF(A35="","",IF(C35&lt;&gt;"Sim","",VLOOKUP(B35,Base_Fixa!$A$2:$I$600,5,FALSE)))</f>
        <v/>
      </c>
      <c r="F35" s="26" t="str">
        <f>IF(A35="","",IF(C35&lt;&gt;"Sim","",VLOOKUP(B35,Base_Fixa!$A$2:$I$600,7,FALSE)))</f>
        <v/>
      </c>
      <c r="G35" s="26" t="str">
        <f>IF(A35="","",IF(C35&lt;&gt;"Sim",0,VLOOKUP(B35,Base_Fixa!$A$2:$I$600,8,FALSE)))</f>
        <v/>
      </c>
      <c r="H35" s="26" t="str">
        <f>IF(A35="","",IF(COUNTIF($B$13:B35,B35)=1,G35,0))</f>
        <v/>
      </c>
      <c r="I35" s="26" t="str">
        <f>IF(A35="","",IF(AND(D35=1,G35=0,COUNTIFS($B$13:B35,B35,$D$13:D35,1,$G$13:G35,0)=1),Parameters!$B$8,0))</f>
        <v/>
      </c>
      <c r="J35" s="26" t="str">
        <f t="shared" si="0"/>
        <v/>
      </c>
      <c r="K35" s="26" t="str">
        <f t="shared" si="1"/>
        <v/>
      </c>
    </row>
    <row r="36" spans="1:11" ht="16.05" customHeight="1">
      <c r="A36" s="25"/>
      <c r="B36" s="26" t="str">
        <f>IF(A36="","",IFERROR(VLOOKUP(LOWER(TRIM(A36)),Alias_Map!$A$2:$B$651,2,FALSE),LOWER(TRIM(A36))))</f>
        <v/>
      </c>
      <c r="C36" s="26" t="str">
        <f>IF(A36="","",IF(ISERROR(VLOOKUP(B36,Base_Fixa!$A$2:$I$600,1,FALSE)),"Não","Sim"))</f>
        <v/>
      </c>
      <c r="D36" s="26" t="str">
        <f>IF(A36="","",IF(C36&lt;&gt;"Sim",0,VLOOKUP(B36,Base_Fixa!$A$2:$I$600,3,FALSE)))</f>
        <v/>
      </c>
      <c r="E36" s="26" t="str">
        <f>IF(A36="","",IF(C36&lt;&gt;"Sim","",VLOOKUP(B36,Base_Fixa!$A$2:$I$600,5,FALSE)))</f>
        <v/>
      </c>
      <c r="F36" s="26" t="str">
        <f>IF(A36="","",IF(C36&lt;&gt;"Sim","",VLOOKUP(B36,Base_Fixa!$A$2:$I$600,7,FALSE)))</f>
        <v/>
      </c>
      <c r="G36" s="26" t="str">
        <f>IF(A36="","",IF(C36&lt;&gt;"Sim",0,VLOOKUP(B36,Base_Fixa!$A$2:$I$600,8,FALSE)))</f>
        <v/>
      </c>
      <c r="H36" s="26" t="str">
        <f>IF(A36="","",IF(COUNTIF($B$13:B36,B36)=1,G36,0))</f>
        <v/>
      </c>
      <c r="I36" s="26" t="str">
        <f>IF(A36="","",IF(AND(D36=1,G36=0,COUNTIFS($B$13:B36,B36,$D$13:D36,1,$G$13:G36,0)=1),Parameters!$B$8,0))</f>
        <v/>
      </c>
      <c r="J36" s="26" t="str">
        <f t="shared" si="0"/>
        <v/>
      </c>
      <c r="K36" s="26" t="str">
        <f t="shared" si="1"/>
        <v/>
      </c>
    </row>
    <row r="37" spans="1:11" ht="16.05" customHeight="1">
      <c r="A37" s="25"/>
      <c r="B37" s="26" t="str">
        <f>IF(A37="","",IFERROR(VLOOKUP(LOWER(TRIM(A37)),Alias_Map!$A$2:$B$651,2,FALSE),LOWER(TRIM(A37))))</f>
        <v/>
      </c>
      <c r="C37" s="26" t="str">
        <f>IF(A37="","",IF(ISERROR(VLOOKUP(B37,Base_Fixa!$A$2:$I$600,1,FALSE)),"Não","Sim"))</f>
        <v/>
      </c>
      <c r="D37" s="26" t="str">
        <f>IF(A37="","",IF(C37&lt;&gt;"Sim",0,VLOOKUP(B37,Base_Fixa!$A$2:$I$600,3,FALSE)))</f>
        <v/>
      </c>
      <c r="E37" s="26" t="str">
        <f>IF(A37="","",IF(C37&lt;&gt;"Sim","",VLOOKUP(B37,Base_Fixa!$A$2:$I$600,5,FALSE)))</f>
        <v/>
      </c>
      <c r="F37" s="26" t="str">
        <f>IF(A37="","",IF(C37&lt;&gt;"Sim","",VLOOKUP(B37,Base_Fixa!$A$2:$I$600,7,FALSE)))</f>
        <v/>
      </c>
      <c r="G37" s="26" t="str">
        <f>IF(A37="","",IF(C37&lt;&gt;"Sim",0,VLOOKUP(B37,Base_Fixa!$A$2:$I$600,8,FALSE)))</f>
        <v/>
      </c>
      <c r="H37" s="26" t="str">
        <f>IF(A37="","",IF(COUNTIF($B$13:B37,B37)=1,G37,0))</f>
        <v/>
      </c>
      <c r="I37" s="26" t="str">
        <f>IF(A37="","",IF(AND(D37=1,G37=0,COUNTIFS($B$13:B37,B37,$D$13:D37,1,$G$13:G37,0)=1),Parameters!$B$8,0))</f>
        <v/>
      </c>
      <c r="J37" s="26" t="str">
        <f t="shared" si="0"/>
        <v/>
      </c>
      <c r="K37" s="26" t="str">
        <f t="shared" si="1"/>
        <v/>
      </c>
    </row>
    <row r="38" spans="1:11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</sheetData>
  <mergeCells count="2">
    <mergeCell ref="A11:K11"/>
    <mergeCell ref="A1:K1"/>
  </mergeCells>
  <conditionalFormatting sqref="C13:C42">
    <cfRule type="expression" dxfId="3" priority="1">
      <formula>C13="Não"</formula>
    </cfRule>
  </conditionalFormatting>
  <conditionalFormatting sqref="D13:G42">
    <cfRule type="cellIs" dxfId="2" priority="2" operator="greaterThan">
      <formula>0</formula>
    </cfRule>
  </conditionalFormatting>
  <conditionalFormatting sqref="E9:E10">
    <cfRule type="expression" dxfId="1" priority="3">
      <formula>$E$8&gt;1.5</formula>
    </cfRule>
    <cfRule type="expression" dxfId="0" priority="4">
      <formula>$E$8&lt;=1.5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Base_Fixa!$A$2:$A$300</xm:f>
          </x14:formula1>
          <xm:sqref>A13:A42</xm:sqref>
        </x14:dataValidation>
        <x14:dataValidation type="list" xr:uid="{00000000-0002-0000-0000-000001000000}">
          <x14:formula1>
            <xm:f>Alias_Map!$A$2:$A$651</xm:f>
          </x14:formula1>
          <xm:sqref>A13:A37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00"/>
  <sheetViews>
    <sheetView workbookViewId="0"/>
  </sheetViews>
  <sheetFormatPr defaultRowHeight="13.8"/>
  <cols>
    <col min="1" max="1" width="30" customWidth="1"/>
    <col min="2" max="2" width="22" customWidth="1"/>
    <col min="3" max="4" width="16" customWidth="1"/>
    <col min="5" max="8" width="18" customWidth="1"/>
    <col min="9" max="9" width="24" customWidth="1"/>
    <col min="11" max="12" width="50" customWidth="1"/>
  </cols>
  <sheetData>
    <row r="1" spans="1:12" ht="27.6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48</v>
      </c>
      <c r="K1" s="1" t="s">
        <v>49</v>
      </c>
      <c r="L1" s="1" t="s">
        <v>50</v>
      </c>
    </row>
    <row r="2" spans="1:12">
      <c r="A2" t="s">
        <v>51</v>
      </c>
      <c r="B2" t="s">
        <v>52</v>
      </c>
      <c r="C2">
        <v>0</v>
      </c>
      <c r="D2">
        <v>0</v>
      </c>
      <c r="E2" t="s">
        <v>53</v>
      </c>
      <c r="F2">
        <v>0</v>
      </c>
      <c r="G2" t="s">
        <v>54</v>
      </c>
      <c r="H2">
        <f>MAX(IFERROR(VLOOKUP(LOWER(SUBSTITUTE(E2,"*","")),Parameters!$E$2:$F$5,2,FALSE),0),IFERROR(VLOOKUP(LOWER(SUBSTITUTE(G2,"*","")),Parameters!$E$2:$F$5,2,FALSE),0))</f>
        <v>1</v>
      </c>
      <c r="I2" t="s">
        <v>55</v>
      </c>
      <c r="K2" t="s">
        <v>56</v>
      </c>
      <c r="L2" t="s">
        <v>57</v>
      </c>
    </row>
    <row r="3" spans="1:12">
      <c r="A3" t="s">
        <v>58</v>
      </c>
      <c r="B3" t="s">
        <v>52</v>
      </c>
      <c r="C3">
        <v>0</v>
      </c>
      <c r="D3">
        <v>0</v>
      </c>
      <c r="E3" t="s">
        <v>53</v>
      </c>
      <c r="F3">
        <v>0</v>
      </c>
      <c r="G3" t="s">
        <v>53</v>
      </c>
      <c r="H3">
        <f>MAX(IFERROR(VLOOKUP(LOWER(SUBSTITUTE(E3,"*","")),Parameters!$E$2:$F$5,2,FALSE),0),IFERROR(VLOOKUP(LOWER(SUBSTITUTE(G3,"*","")),Parameters!$E$2:$F$5,2,FALSE),0))</f>
        <v>0</v>
      </c>
      <c r="I3" t="s">
        <v>55</v>
      </c>
      <c r="K3" t="s">
        <v>59</v>
      </c>
      <c r="L3" t="s">
        <v>60</v>
      </c>
    </row>
    <row r="4" spans="1:12">
      <c r="A4" t="s">
        <v>61</v>
      </c>
      <c r="B4" t="s">
        <v>62</v>
      </c>
      <c r="C4">
        <v>0</v>
      </c>
      <c r="D4">
        <v>0</v>
      </c>
      <c r="E4" t="s">
        <v>53</v>
      </c>
      <c r="F4">
        <v>0</v>
      </c>
      <c r="G4" t="s">
        <v>53</v>
      </c>
      <c r="H4">
        <f>MAX(IFERROR(VLOOKUP(LOWER(SUBSTITUTE(E4,"*","")),Parameters!$E$2:$F$5,2,FALSE),0),IFERROR(VLOOKUP(LOWER(SUBSTITUTE(G4,"*","")),Parameters!$E$2:$F$5,2,FALSE),0))</f>
        <v>0</v>
      </c>
      <c r="I4" t="s">
        <v>63</v>
      </c>
      <c r="K4" t="s">
        <v>5</v>
      </c>
      <c r="L4" t="s">
        <v>64</v>
      </c>
    </row>
    <row r="5" spans="1:12">
      <c r="A5" t="s">
        <v>65</v>
      </c>
      <c r="B5" t="s">
        <v>52</v>
      </c>
      <c r="C5">
        <v>0</v>
      </c>
      <c r="D5">
        <v>0</v>
      </c>
      <c r="E5" t="s">
        <v>53</v>
      </c>
      <c r="F5">
        <v>0</v>
      </c>
      <c r="G5" t="s">
        <v>54</v>
      </c>
      <c r="H5">
        <f>MAX(IFERROR(VLOOKUP(LOWER(SUBSTITUTE(E5,"*","")),Parameters!$E$2:$F$5,2,FALSE),0),IFERROR(VLOOKUP(LOWER(SUBSTITUTE(G5,"*","")),Parameters!$E$2:$F$5,2,FALSE),0))</f>
        <v>1</v>
      </c>
      <c r="I5" t="s">
        <v>55</v>
      </c>
      <c r="K5" t="s">
        <v>66</v>
      </c>
      <c r="L5" t="s">
        <v>67</v>
      </c>
    </row>
    <row r="6" spans="1:12">
      <c r="A6" t="s">
        <v>68</v>
      </c>
      <c r="B6" t="s">
        <v>69</v>
      </c>
      <c r="C6">
        <v>0</v>
      </c>
      <c r="D6">
        <v>0</v>
      </c>
      <c r="E6" t="s">
        <v>53</v>
      </c>
      <c r="F6">
        <v>0</v>
      </c>
      <c r="G6" t="s">
        <v>53</v>
      </c>
      <c r="H6">
        <f>MAX(IFERROR(VLOOKUP(LOWER(SUBSTITUTE(E6,"*","")),Parameters!$E$2:$F$5,2,FALSE),0),IFERROR(VLOOKUP(LOWER(SUBSTITUTE(G6,"*","")),Parameters!$E$2:$F$5,2,FALSE),0))</f>
        <v>0</v>
      </c>
      <c r="I6" t="s">
        <v>63</v>
      </c>
      <c r="K6" t="s">
        <v>70</v>
      </c>
      <c r="L6" t="s">
        <v>71</v>
      </c>
    </row>
    <row r="7" spans="1:12">
      <c r="A7" t="s">
        <v>72</v>
      </c>
      <c r="B7" t="s">
        <v>52</v>
      </c>
      <c r="C7">
        <v>0</v>
      </c>
      <c r="D7">
        <v>0</v>
      </c>
      <c r="E7" t="s">
        <v>53</v>
      </c>
      <c r="F7">
        <v>0</v>
      </c>
      <c r="G7" t="s">
        <v>53</v>
      </c>
      <c r="H7">
        <f>MAX(IFERROR(VLOOKUP(LOWER(SUBSTITUTE(E7,"*","")),Parameters!$E$2:$F$5,2,FALSE),0),IFERROR(VLOOKUP(LOWER(SUBSTITUTE(G7,"*","")),Parameters!$E$2:$F$5,2,FALSE),0))</f>
        <v>0</v>
      </c>
      <c r="I7" t="s">
        <v>55</v>
      </c>
    </row>
    <row r="8" spans="1:12">
      <c r="A8" t="s">
        <v>73</v>
      </c>
      <c r="B8" t="s">
        <v>52</v>
      </c>
      <c r="C8">
        <v>0</v>
      </c>
      <c r="D8">
        <v>0</v>
      </c>
      <c r="E8" t="s">
        <v>53</v>
      </c>
      <c r="F8">
        <v>0</v>
      </c>
      <c r="G8" t="s">
        <v>53</v>
      </c>
      <c r="H8">
        <f>MAX(IFERROR(VLOOKUP(LOWER(SUBSTITUTE(E8,"*","")),Parameters!$E$2:$F$5,2,FALSE),0),IFERROR(VLOOKUP(LOWER(SUBSTITUTE(G8,"*","")),Parameters!$E$2:$F$5,2,FALSE),0))</f>
        <v>0</v>
      </c>
      <c r="I8" t="s">
        <v>55</v>
      </c>
    </row>
    <row r="9" spans="1:12">
      <c r="A9" t="s">
        <v>74</v>
      </c>
      <c r="B9" t="s">
        <v>52</v>
      </c>
      <c r="C9">
        <v>0</v>
      </c>
      <c r="D9">
        <v>0</v>
      </c>
      <c r="E9" t="s">
        <v>53</v>
      </c>
      <c r="F9">
        <v>0</v>
      </c>
      <c r="G9" t="s">
        <v>54</v>
      </c>
      <c r="H9">
        <f>MAX(IFERROR(VLOOKUP(LOWER(SUBSTITUTE(E9,"*","")),Parameters!$E$2:$F$5,2,FALSE),0),IFERROR(VLOOKUP(LOWER(SUBSTITUTE(G9,"*","")),Parameters!$E$2:$F$5,2,FALSE),0))</f>
        <v>1</v>
      </c>
      <c r="I9" t="s">
        <v>55</v>
      </c>
    </row>
    <row r="10" spans="1:12">
      <c r="A10" t="s">
        <v>75</v>
      </c>
      <c r="B10" t="s">
        <v>52</v>
      </c>
      <c r="C10">
        <v>0</v>
      </c>
      <c r="D10">
        <v>0</v>
      </c>
      <c r="E10" t="s">
        <v>53</v>
      </c>
      <c r="F10">
        <v>0</v>
      </c>
      <c r="G10" t="s">
        <v>53</v>
      </c>
      <c r="H10">
        <f>MAX(IFERROR(VLOOKUP(LOWER(SUBSTITUTE(E10,"*","")),Parameters!$E$2:$F$5,2,FALSE),0),IFERROR(VLOOKUP(LOWER(SUBSTITUTE(G10,"*","")),Parameters!$E$2:$F$5,2,FALSE),0))</f>
        <v>0</v>
      </c>
      <c r="I10" t="s">
        <v>55</v>
      </c>
    </row>
    <row r="11" spans="1:12">
      <c r="A11" t="s">
        <v>76</v>
      </c>
      <c r="B11" t="s">
        <v>52</v>
      </c>
      <c r="C11">
        <v>0</v>
      </c>
      <c r="D11">
        <v>0</v>
      </c>
      <c r="E11" t="s">
        <v>53</v>
      </c>
      <c r="F11">
        <v>0</v>
      </c>
      <c r="G11" t="s">
        <v>54</v>
      </c>
      <c r="H11">
        <f>MAX(IFERROR(VLOOKUP(LOWER(SUBSTITUTE(E11,"*","")),Parameters!$E$2:$F$5,2,FALSE),0),IFERROR(VLOOKUP(LOWER(SUBSTITUTE(G11,"*","")),Parameters!$E$2:$F$5,2,FALSE),0))</f>
        <v>1</v>
      </c>
      <c r="I11" t="s">
        <v>55</v>
      </c>
    </row>
    <row r="12" spans="1:12">
      <c r="A12" t="s">
        <v>77</v>
      </c>
      <c r="B12" t="s">
        <v>52</v>
      </c>
      <c r="C12">
        <v>0</v>
      </c>
      <c r="D12">
        <v>0</v>
      </c>
      <c r="E12" t="s">
        <v>53</v>
      </c>
      <c r="F12">
        <v>0</v>
      </c>
      <c r="G12" t="s">
        <v>53</v>
      </c>
      <c r="H12">
        <f>MAX(IFERROR(VLOOKUP(LOWER(SUBSTITUTE(E12,"*","")),Parameters!$E$2:$F$5,2,FALSE),0),IFERROR(VLOOKUP(LOWER(SUBSTITUTE(G12,"*","")),Parameters!$E$2:$F$5,2,FALSE),0))</f>
        <v>0</v>
      </c>
      <c r="I12" t="s">
        <v>55</v>
      </c>
    </row>
    <row r="13" spans="1:12">
      <c r="A13" t="s">
        <v>78</v>
      </c>
      <c r="B13" t="s">
        <v>52</v>
      </c>
      <c r="C13">
        <v>0</v>
      </c>
      <c r="D13">
        <v>0</v>
      </c>
      <c r="E13" t="s">
        <v>53</v>
      </c>
      <c r="F13">
        <v>0</v>
      </c>
      <c r="G13" t="s">
        <v>54</v>
      </c>
      <c r="H13">
        <f>MAX(IFERROR(VLOOKUP(LOWER(SUBSTITUTE(E13,"*","")),Parameters!$E$2:$F$5,2,FALSE),0),IFERROR(VLOOKUP(LOWER(SUBSTITUTE(G13,"*","")),Parameters!$E$2:$F$5,2,FALSE),0))</f>
        <v>1</v>
      </c>
      <c r="I13" t="s">
        <v>55</v>
      </c>
    </row>
    <row r="14" spans="1:12">
      <c r="A14" t="s">
        <v>79</v>
      </c>
      <c r="B14" t="s">
        <v>52</v>
      </c>
      <c r="C14">
        <v>0</v>
      </c>
      <c r="D14">
        <v>0</v>
      </c>
      <c r="E14" t="s">
        <v>53</v>
      </c>
      <c r="F14">
        <v>0</v>
      </c>
      <c r="G14" t="s">
        <v>53</v>
      </c>
      <c r="H14">
        <f>MAX(IFERROR(VLOOKUP(LOWER(SUBSTITUTE(E14,"*","")),Parameters!$E$2:$F$5,2,FALSE),0),IFERROR(VLOOKUP(LOWER(SUBSTITUTE(G14,"*","")),Parameters!$E$2:$F$5,2,FALSE),0))</f>
        <v>0</v>
      </c>
      <c r="I14" t="s">
        <v>55</v>
      </c>
    </row>
    <row r="15" spans="1:12">
      <c r="A15" t="s">
        <v>80</v>
      </c>
      <c r="B15" t="s">
        <v>52</v>
      </c>
      <c r="C15">
        <v>0</v>
      </c>
      <c r="D15">
        <v>0</v>
      </c>
      <c r="E15" t="s">
        <v>53</v>
      </c>
      <c r="F15">
        <v>0</v>
      </c>
      <c r="G15" t="s">
        <v>54</v>
      </c>
      <c r="H15">
        <f>MAX(IFERROR(VLOOKUP(LOWER(SUBSTITUTE(E15,"*","")),Parameters!$E$2:$F$5,2,FALSE),0),IFERROR(VLOOKUP(LOWER(SUBSTITUTE(G15,"*","")),Parameters!$E$2:$F$5,2,FALSE),0))</f>
        <v>1</v>
      </c>
      <c r="I15" t="s">
        <v>55</v>
      </c>
    </row>
    <row r="16" spans="1:12">
      <c r="A16" t="s">
        <v>81</v>
      </c>
      <c r="B16" t="s">
        <v>52</v>
      </c>
      <c r="C16">
        <v>0</v>
      </c>
      <c r="D16">
        <v>0</v>
      </c>
      <c r="E16" t="s">
        <v>53</v>
      </c>
      <c r="F16">
        <v>0</v>
      </c>
      <c r="G16" t="s">
        <v>54</v>
      </c>
      <c r="H16">
        <f>MAX(IFERROR(VLOOKUP(LOWER(SUBSTITUTE(E16,"*","")),Parameters!$E$2:$F$5,2,FALSE),0),IFERROR(VLOOKUP(LOWER(SUBSTITUTE(G16,"*","")),Parameters!$E$2:$F$5,2,FALSE),0))</f>
        <v>1</v>
      </c>
      <c r="I16" t="s">
        <v>55</v>
      </c>
    </row>
    <row r="17" spans="1:9">
      <c r="A17" t="s">
        <v>82</v>
      </c>
      <c r="B17" t="s">
        <v>52</v>
      </c>
      <c r="C17">
        <v>0</v>
      </c>
      <c r="D17">
        <v>0</v>
      </c>
      <c r="E17" t="s">
        <v>54</v>
      </c>
      <c r="F17">
        <v>1</v>
      </c>
      <c r="G17" t="s">
        <v>83</v>
      </c>
      <c r="H17">
        <f>MAX(IFERROR(VLOOKUP(LOWER(SUBSTITUTE(E17,"*","")),Parameters!$E$2:$F$5,2,FALSE),0),IFERROR(VLOOKUP(LOWER(SUBSTITUTE(G17,"*","")),Parameters!$E$2:$F$5,2,FALSE),0))</f>
        <v>2</v>
      </c>
      <c r="I17" t="s">
        <v>55</v>
      </c>
    </row>
    <row r="18" spans="1:9">
      <c r="A18" t="s">
        <v>84</v>
      </c>
      <c r="B18" t="s">
        <v>85</v>
      </c>
      <c r="C18">
        <v>1</v>
      </c>
      <c r="D18">
        <v>0</v>
      </c>
      <c r="E18" t="s">
        <v>54</v>
      </c>
      <c r="F18">
        <v>1</v>
      </c>
      <c r="G18" t="s">
        <v>86</v>
      </c>
      <c r="H18">
        <f>MAX(IFERROR(VLOOKUP(LOWER(SUBSTITUTE(E18,"*","")),Parameters!$E$2:$F$5,2,FALSE),0),IFERROR(VLOOKUP(LOWER(SUBSTITUTE(G18,"*","")),Parameters!$E$2:$F$5,2,FALSE),0))</f>
        <v>3</v>
      </c>
      <c r="I18" t="s">
        <v>63</v>
      </c>
    </row>
    <row r="19" spans="1:9">
      <c r="A19" t="s">
        <v>87</v>
      </c>
      <c r="B19" t="s">
        <v>52</v>
      </c>
      <c r="C19">
        <v>0</v>
      </c>
      <c r="D19">
        <v>0</v>
      </c>
      <c r="E19" t="s">
        <v>53</v>
      </c>
      <c r="F19">
        <v>0</v>
      </c>
      <c r="G19" t="s">
        <v>53</v>
      </c>
      <c r="H19">
        <f>MAX(IFERROR(VLOOKUP(LOWER(SUBSTITUTE(E19,"*","")),Parameters!$E$2:$F$5,2,FALSE),0),IFERROR(VLOOKUP(LOWER(SUBSTITUTE(G19,"*","")),Parameters!$E$2:$F$5,2,FALSE),0))</f>
        <v>0</v>
      </c>
      <c r="I19" t="s">
        <v>55</v>
      </c>
    </row>
    <row r="20" spans="1:9">
      <c r="A20" t="s">
        <v>88</v>
      </c>
      <c r="B20" t="s">
        <v>52</v>
      </c>
      <c r="C20">
        <v>0</v>
      </c>
      <c r="D20">
        <v>1</v>
      </c>
      <c r="E20" t="s">
        <v>83</v>
      </c>
      <c r="F20">
        <v>0</v>
      </c>
      <c r="G20" t="s">
        <v>54</v>
      </c>
      <c r="H20">
        <f>MAX(IFERROR(VLOOKUP(LOWER(SUBSTITUTE(E20,"*","")),Parameters!$E$2:$F$5,2,FALSE),0),IFERROR(VLOOKUP(LOWER(SUBSTITUTE(G20,"*","")),Parameters!$E$2:$F$5,2,FALSE),0))</f>
        <v>2</v>
      </c>
      <c r="I20" t="s">
        <v>55</v>
      </c>
    </row>
    <row r="21" spans="1:9">
      <c r="A21" t="s">
        <v>89</v>
      </c>
      <c r="B21" t="s">
        <v>52</v>
      </c>
      <c r="C21">
        <v>0</v>
      </c>
      <c r="D21">
        <v>0</v>
      </c>
      <c r="E21" t="s">
        <v>53</v>
      </c>
      <c r="F21">
        <v>0</v>
      </c>
      <c r="G21" t="s">
        <v>54</v>
      </c>
      <c r="H21">
        <f>MAX(IFERROR(VLOOKUP(LOWER(SUBSTITUTE(E21,"*","")),Parameters!$E$2:$F$5,2,FALSE),0),IFERROR(VLOOKUP(LOWER(SUBSTITUTE(G21,"*","")),Parameters!$E$2:$F$5,2,FALSE),0))</f>
        <v>1</v>
      </c>
      <c r="I21" t="s">
        <v>55</v>
      </c>
    </row>
    <row r="22" spans="1:9">
      <c r="A22" t="s">
        <v>90</v>
      </c>
      <c r="B22" t="s">
        <v>52</v>
      </c>
      <c r="C22">
        <v>0</v>
      </c>
      <c r="D22">
        <v>0</v>
      </c>
      <c r="E22" t="s">
        <v>53</v>
      </c>
      <c r="F22">
        <v>0</v>
      </c>
      <c r="G22" t="s">
        <v>53</v>
      </c>
      <c r="H22">
        <f>MAX(IFERROR(VLOOKUP(LOWER(SUBSTITUTE(E22,"*","")),Parameters!$E$2:$F$5,2,FALSE),0),IFERROR(VLOOKUP(LOWER(SUBSTITUTE(G22,"*","")),Parameters!$E$2:$F$5,2,FALSE),0))</f>
        <v>0</v>
      </c>
      <c r="I22" t="s">
        <v>55</v>
      </c>
    </row>
    <row r="23" spans="1:9">
      <c r="A23" t="s">
        <v>91</v>
      </c>
      <c r="B23" t="s">
        <v>92</v>
      </c>
      <c r="C23">
        <v>1</v>
      </c>
      <c r="D23">
        <v>1</v>
      </c>
      <c r="E23" t="s">
        <v>86</v>
      </c>
      <c r="F23">
        <v>1</v>
      </c>
      <c r="G23" t="s">
        <v>86</v>
      </c>
      <c r="H23">
        <f>MAX(IFERROR(VLOOKUP(LOWER(SUBSTITUTE(E23,"*","")),Parameters!$E$2:$F$5,2,FALSE),0),IFERROR(VLOOKUP(LOWER(SUBSTITUTE(G23,"*","")),Parameters!$E$2:$F$5,2,FALSE),0))</f>
        <v>3</v>
      </c>
      <c r="I23" t="s">
        <v>63</v>
      </c>
    </row>
    <row r="24" spans="1:9">
      <c r="A24" t="s">
        <v>93</v>
      </c>
      <c r="B24" t="s">
        <v>94</v>
      </c>
      <c r="C24">
        <v>0</v>
      </c>
      <c r="D24">
        <v>0</v>
      </c>
      <c r="E24" t="s">
        <v>53</v>
      </c>
      <c r="F24">
        <v>0</v>
      </c>
      <c r="G24" t="s">
        <v>54</v>
      </c>
      <c r="H24">
        <f>MAX(IFERROR(VLOOKUP(LOWER(SUBSTITUTE(E24,"*","")),Parameters!$E$2:$F$5,2,FALSE),0),IFERROR(VLOOKUP(LOWER(SUBSTITUTE(G24,"*","")),Parameters!$E$2:$F$5,2,FALSE),0))</f>
        <v>1</v>
      </c>
      <c r="I24" t="s">
        <v>63</v>
      </c>
    </row>
    <row r="25" spans="1:9">
      <c r="A25" t="s">
        <v>95</v>
      </c>
      <c r="B25" t="s">
        <v>52</v>
      </c>
      <c r="C25">
        <v>0</v>
      </c>
      <c r="D25">
        <v>0</v>
      </c>
      <c r="E25" t="s">
        <v>53</v>
      </c>
      <c r="F25">
        <v>0</v>
      </c>
      <c r="G25" t="s">
        <v>53</v>
      </c>
      <c r="H25">
        <f>MAX(IFERROR(VLOOKUP(LOWER(SUBSTITUTE(E25,"*","")),Parameters!$E$2:$F$5,2,FALSE),0),IFERROR(VLOOKUP(LOWER(SUBSTITUTE(G25,"*","")),Parameters!$E$2:$F$5,2,FALSE),0))</f>
        <v>0</v>
      </c>
      <c r="I25" t="s">
        <v>55</v>
      </c>
    </row>
    <row r="26" spans="1:9">
      <c r="A26" t="s">
        <v>96</v>
      </c>
      <c r="B26" t="s">
        <v>52</v>
      </c>
      <c r="C26">
        <v>1</v>
      </c>
      <c r="D26">
        <v>1</v>
      </c>
      <c r="E26" t="s">
        <v>86</v>
      </c>
      <c r="F26">
        <v>1</v>
      </c>
      <c r="G26" t="s">
        <v>83</v>
      </c>
      <c r="H26">
        <f>MAX(IFERROR(VLOOKUP(LOWER(SUBSTITUTE(E26,"*","")),Parameters!$E$2:$F$5,2,FALSE),0),IFERROR(VLOOKUP(LOWER(SUBSTITUTE(G26,"*","")),Parameters!$E$2:$F$5,2,FALSE),0))</f>
        <v>3</v>
      </c>
      <c r="I26" t="s">
        <v>55</v>
      </c>
    </row>
    <row r="27" spans="1:9">
      <c r="A27" t="s">
        <v>97</v>
      </c>
      <c r="B27" t="s">
        <v>52</v>
      </c>
      <c r="C27">
        <v>0</v>
      </c>
      <c r="D27">
        <v>0</v>
      </c>
      <c r="E27" t="s">
        <v>53</v>
      </c>
      <c r="F27">
        <v>0</v>
      </c>
      <c r="G27" t="s">
        <v>53</v>
      </c>
      <c r="H27">
        <f>MAX(IFERROR(VLOOKUP(LOWER(SUBSTITUTE(E27,"*","")),Parameters!$E$2:$F$5,2,FALSE),0),IFERROR(VLOOKUP(LOWER(SUBSTITUTE(G27,"*","")),Parameters!$E$2:$F$5,2,FALSE),0))</f>
        <v>0</v>
      </c>
      <c r="I27" t="s">
        <v>55</v>
      </c>
    </row>
    <row r="28" spans="1:9">
      <c r="A28" t="s">
        <v>98</v>
      </c>
      <c r="B28" t="s">
        <v>52</v>
      </c>
      <c r="C28">
        <v>0</v>
      </c>
      <c r="D28">
        <v>0</v>
      </c>
      <c r="E28" t="s">
        <v>53</v>
      </c>
      <c r="F28">
        <v>0</v>
      </c>
      <c r="G28" t="s">
        <v>53</v>
      </c>
      <c r="H28">
        <f>MAX(IFERROR(VLOOKUP(LOWER(SUBSTITUTE(E28,"*","")),Parameters!$E$2:$F$5,2,FALSE),0),IFERROR(VLOOKUP(LOWER(SUBSTITUTE(G28,"*","")),Parameters!$E$2:$F$5,2,FALSE),0))</f>
        <v>0</v>
      </c>
      <c r="I28" t="s">
        <v>55</v>
      </c>
    </row>
    <row r="29" spans="1:9">
      <c r="A29" t="s">
        <v>99</v>
      </c>
      <c r="B29" t="s">
        <v>52</v>
      </c>
      <c r="C29">
        <v>0</v>
      </c>
      <c r="D29">
        <v>0</v>
      </c>
      <c r="E29" t="s">
        <v>54</v>
      </c>
      <c r="F29">
        <v>0</v>
      </c>
      <c r="G29" t="s">
        <v>53</v>
      </c>
      <c r="H29">
        <f>MAX(IFERROR(VLOOKUP(LOWER(SUBSTITUTE(E29,"*","")),Parameters!$E$2:$F$5,2,FALSE),0),IFERROR(VLOOKUP(LOWER(SUBSTITUTE(G29,"*","")),Parameters!$E$2:$F$5,2,FALSE),0))</f>
        <v>1</v>
      </c>
      <c r="I29" t="s">
        <v>55</v>
      </c>
    </row>
    <row r="30" spans="1:9">
      <c r="A30" t="s">
        <v>100</v>
      </c>
      <c r="B30" t="s">
        <v>52</v>
      </c>
      <c r="C30">
        <v>0</v>
      </c>
      <c r="D30">
        <v>0</v>
      </c>
      <c r="E30" t="s">
        <v>53</v>
      </c>
      <c r="F30">
        <v>0</v>
      </c>
      <c r="G30" t="s">
        <v>54</v>
      </c>
      <c r="H30">
        <f>MAX(IFERROR(VLOOKUP(LOWER(SUBSTITUTE(E30,"*","")),Parameters!$E$2:$F$5,2,FALSE),0),IFERROR(VLOOKUP(LOWER(SUBSTITUTE(G30,"*","")),Parameters!$E$2:$F$5,2,FALSE),0))</f>
        <v>1</v>
      </c>
      <c r="I30" t="s">
        <v>55</v>
      </c>
    </row>
    <row r="31" spans="1:9">
      <c r="A31" t="s">
        <v>101</v>
      </c>
      <c r="B31" t="s">
        <v>52</v>
      </c>
      <c r="C31">
        <v>0</v>
      </c>
      <c r="D31">
        <v>0</v>
      </c>
      <c r="E31" t="s">
        <v>53</v>
      </c>
      <c r="F31">
        <v>0</v>
      </c>
      <c r="G31" t="s">
        <v>53</v>
      </c>
      <c r="H31">
        <f>MAX(IFERROR(VLOOKUP(LOWER(SUBSTITUTE(E31,"*","")),Parameters!$E$2:$F$5,2,FALSE),0),IFERROR(VLOOKUP(LOWER(SUBSTITUTE(G31,"*","")),Parameters!$E$2:$F$5,2,FALSE),0))</f>
        <v>0</v>
      </c>
      <c r="I31" t="s">
        <v>55</v>
      </c>
    </row>
    <row r="32" spans="1:9">
      <c r="A32" t="s">
        <v>102</v>
      </c>
      <c r="B32" t="s">
        <v>103</v>
      </c>
      <c r="C32">
        <v>0</v>
      </c>
      <c r="D32">
        <v>0</v>
      </c>
      <c r="E32" t="s">
        <v>53</v>
      </c>
      <c r="F32">
        <v>0</v>
      </c>
      <c r="G32" t="s">
        <v>53</v>
      </c>
      <c r="H32">
        <f>MAX(IFERROR(VLOOKUP(LOWER(SUBSTITUTE(E32,"*","")),Parameters!$E$2:$F$5,2,FALSE),0),IFERROR(VLOOKUP(LOWER(SUBSTITUTE(G32,"*","")),Parameters!$E$2:$F$5,2,FALSE),0))</f>
        <v>0</v>
      </c>
      <c r="I32" t="s">
        <v>63</v>
      </c>
    </row>
    <row r="33" spans="1:9">
      <c r="A33" t="s">
        <v>104</v>
      </c>
      <c r="B33" t="s">
        <v>52</v>
      </c>
      <c r="C33">
        <v>0</v>
      </c>
      <c r="D33">
        <v>0</v>
      </c>
      <c r="E33" t="s">
        <v>53</v>
      </c>
      <c r="F33">
        <v>0</v>
      </c>
      <c r="G33" t="s">
        <v>53</v>
      </c>
      <c r="H33">
        <f>MAX(IFERROR(VLOOKUP(LOWER(SUBSTITUTE(E33,"*","")),Parameters!$E$2:$F$5,2,FALSE),0),IFERROR(VLOOKUP(LOWER(SUBSTITUTE(G33,"*","")),Parameters!$E$2:$F$5,2,FALSE),0))</f>
        <v>0</v>
      </c>
      <c r="I33" t="s">
        <v>55</v>
      </c>
    </row>
    <row r="34" spans="1:9">
      <c r="A34" t="s">
        <v>105</v>
      </c>
      <c r="B34" t="s">
        <v>106</v>
      </c>
      <c r="C34">
        <v>1</v>
      </c>
      <c r="D34">
        <v>0</v>
      </c>
      <c r="E34" t="s">
        <v>54</v>
      </c>
      <c r="F34">
        <v>1</v>
      </c>
      <c r="G34" t="s">
        <v>83</v>
      </c>
      <c r="H34">
        <f>MAX(IFERROR(VLOOKUP(LOWER(SUBSTITUTE(E34,"*","")),Parameters!$E$2:$F$5,2,FALSE),0),IFERROR(VLOOKUP(LOWER(SUBSTITUTE(G34,"*","")),Parameters!$E$2:$F$5,2,FALSE),0))</f>
        <v>2</v>
      </c>
      <c r="I34" t="s">
        <v>63</v>
      </c>
    </row>
    <row r="35" spans="1:9">
      <c r="A35" t="s">
        <v>107</v>
      </c>
      <c r="B35" t="s">
        <v>52</v>
      </c>
      <c r="C35">
        <v>0</v>
      </c>
      <c r="D35">
        <v>0</v>
      </c>
      <c r="E35" t="s">
        <v>53</v>
      </c>
      <c r="F35">
        <v>0</v>
      </c>
      <c r="G35" t="s">
        <v>54</v>
      </c>
      <c r="H35">
        <f>MAX(IFERROR(VLOOKUP(LOWER(SUBSTITUTE(E35,"*","")),Parameters!$E$2:$F$5,2,FALSE),0),IFERROR(VLOOKUP(LOWER(SUBSTITUTE(G35,"*","")),Parameters!$E$2:$F$5,2,FALSE),0))</f>
        <v>1</v>
      </c>
      <c r="I35" t="s">
        <v>55</v>
      </c>
    </row>
    <row r="36" spans="1:9">
      <c r="A36" t="s">
        <v>108</v>
      </c>
      <c r="B36" t="s">
        <v>52</v>
      </c>
      <c r="C36">
        <v>0</v>
      </c>
      <c r="D36">
        <v>0</v>
      </c>
      <c r="E36" t="s">
        <v>54</v>
      </c>
      <c r="F36">
        <v>1</v>
      </c>
      <c r="G36" t="s">
        <v>83</v>
      </c>
      <c r="H36">
        <f>MAX(IFERROR(VLOOKUP(LOWER(SUBSTITUTE(E36,"*","")),Parameters!$E$2:$F$5,2,FALSE),0),IFERROR(VLOOKUP(LOWER(SUBSTITUTE(G36,"*","")),Parameters!$E$2:$F$5,2,FALSE),0))</f>
        <v>2</v>
      </c>
      <c r="I36" t="s">
        <v>55</v>
      </c>
    </row>
    <row r="37" spans="1:9">
      <c r="A37" t="s">
        <v>109</v>
      </c>
      <c r="B37" t="s">
        <v>69</v>
      </c>
      <c r="C37">
        <v>0</v>
      </c>
      <c r="D37">
        <v>0</v>
      </c>
      <c r="E37" t="s">
        <v>53</v>
      </c>
      <c r="F37">
        <v>0</v>
      </c>
      <c r="G37" t="s">
        <v>53</v>
      </c>
      <c r="H37">
        <f>MAX(IFERROR(VLOOKUP(LOWER(SUBSTITUTE(E37,"*","")),Parameters!$E$2:$F$5,2,FALSE),0),IFERROR(VLOOKUP(LOWER(SUBSTITUTE(G37,"*","")),Parameters!$E$2:$F$5,2,FALSE),0))</f>
        <v>0</v>
      </c>
      <c r="I37" t="s">
        <v>63</v>
      </c>
    </row>
    <row r="38" spans="1:9">
      <c r="A38" t="s">
        <v>110</v>
      </c>
      <c r="B38" t="s">
        <v>52</v>
      </c>
      <c r="C38">
        <v>0</v>
      </c>
      <c r="D38">
        <v>0</v>
      </c>
      <c r="E38" t="s">
        <v>54</v>
      </c>
      <c r="F38">
        <v>0</v>
      </c>
      <c r="G38" t="s">
        <v>54</v>
      </c>
      <c r="H38">
        <f>MAX(IFERROR(VLOOKUP(LOWER(SUBSTITUTE(E38,"*","")),Parameters!$E$2:$F$5,2,FALSE),0),IFERROR(VLOOKUP(LOWER(SUBSTITUTE(G38,"*","")),Parameters!$E$2:$F$5,2,FALSE),0))</f>
        <v>1</v>
      </c>
      <c r="I38" t="s">
        <v>55</v>
      </c>
    </row>
    <row r="39" spans="1:9">
      <c r="A39" t="s">
        <v>111</v>
      </c>
      <c r="B39" t="s">
        <v>94</v>
      </c>
      <c r="C39">
        <v>0</v>
      </c>
      <c r="D39">
        <v>0</v>
      </c>
      <c r="E39" t="s">
        <v>53</v>
      </c>
      <c r="F39">
        <v>0</v>
      </c>
      <c r="G39" t="s">
        <v>54</v>
      </c>
      <c r="H39">
        <f>MAX(IFERROR(VLOOKUP(LOWER(SUBSTITUTE(E39,"*","")),Parameters!$E$2:$F$5,2,FALSE),0),IFERROR(VLOOKUP(LOWER(SUBSTITUTE(G39,"*","")),Parameters!$E$2:$F$5,2,FALSE),0))</f>
        <v>1</v>
      </c>
      <c r="I39" t="s">
        <v>63</v>
      </c>
    </row>
    <row r="40" spans="1:9">
      <c r="A40" t="s">
        <v>112</v>
      </c>
      <c r="B40" t="s">
        <v>52</v>
      </c>
      <c r="C40">
        <v>0</v>
      </c>
      <c r="D40">
        <v>0</v>
      </c>
      <c r="E40" t="s">
        <v>53</v>
      </c>
      <c r="F40">
        <v>0</v>
      </c>
      <c r="G40" t="s">
        <v>54</v>
      </c>
      <c r="H40">
        <f>MAX(IFERROR(VLOOKUP(LOWER(SUBSTITUTE(E40,"*","")),Parameters!$E$2:$F$5,2,FALSE),0),IFERROR(VLOOKUP(LOWER(SUBSTITUTE(G40,"*","")),Parameters!$E$2:$F$5,2,FALSE),0))</f>
        <v>1</v>
      </c>
      <c r="I40" t="s">
        <v>55</v>
      </c>
    </row>
    <row r="41" spans="1:9">
      <c r="A41" t="s">
        <v>113</v>
      </c>
      <c r="B41" t="s">
        <v>114</v>
      </c>
      <c r="C41">
        <v>1</v>
      </c>
      <c r="D41">
        <v>1</v>
      </c>
      <c r="E41" t="s">
        <v>86</v>
      </c>
      <c r="F41">
        <v>1</v>
      </c>
      <c r="G41" t="s">
        <v>83</v>
      </c>
      <c r="H41">
        <f>MAX(IFERROR(VLOOKUP(LOWER(SUBSTITUTE(E41,"*","")),Parameters!$E$2:$F$5,2,FALSE),0),IFERROR(VLOOKUP(LOWER(SUBSTITUTE(G41,"*","")),Parameters!$E$2:$F$5,2,FALSE),0))</f>
        <v>3</v>
      </c>
      <c r="I41" t="s">
        <v>63</v>
      </c>
    </row>
    <row r="42" spans="1:9">
      <c r="A42" t="s">
        <v>115</v>
      </c>
      <c r="B42" t="s">
        <v>52</v>
      </c>
      <c r="C42">
        <v>0</v>
      </c>
      <c r="D42">
        <v>0</v>
      </c>
      <c r="E42" t="s">
        <v>53</v>
      </c>
      <c r="F42">
        <v>0</v>
      </c>
      <c r="G42" t="s">
        <v>54</v>
      </c>
      <c r="H42">
        <f>MAX(IFERROR(VLOOKUP(LOWER(SUBSTITUTE(E42,"*","")),Parameters!$E$2:$F$5,2,FALSE),0),IFERROR(VLOOKUP(LOWER(SUBSTITUTE(G42,"*","")),Parameters!$E$2:$F$5,2,FALSE),0))</f>
        <v>1</v>
      </c>
      <c r="I42" t="s">
        <v>55</v>
      </c>
    </row>
    <row r="43" spans="1:9">
      <c r="A43" t="s">
        <v>116</v>
      </c>
      <c r="B43" t="s">
        <v>52</v>
      </c>
      <c r="C43">
        <v>0</v>
      </c>
      <c r="D43">
        <v>0</v>
      </c>
      <c r="E43" t="s">
        <v>54</v>
      </c>
      <c r="F43">
        <v>0</v>
      </c>
      <c r="G43" t="s">
        <v>53</v>
      </c>
      <c r="H43">
        <f>MAX(IFERROR(VLOOKUP(LOWER(SUBSTITUTE(E43,"*","")),Parameters!$E$2:$F$5,2,FALSE),0),IFERROR(VLOOKUP(LOWER(SUBSTITUTE(G43,"*","")),Parameters!$E$2:$F$5,2,FALSE),0))</f>
        <v>1</v>
      </c>
      <c r="I43" t="s">
        <v>55</v>
      </c>
    </row>
    <row r="44" spans="1:9">
      <c r="A44" t="s">
        <v>117</v>
      </c>
      <c r="B44" t="s">
        <v>52</v>
      </c>
      <c r="C44">
        <v>0</v>
      </c>
      <c r="D44">
        <v>0</v>
      </c>
      <c r="E44" t="s">
        <v>53</v>
      </c>
      <c r="F44">
        <v>0</v>
      </c>
      <c r="G44" t="s">
        <v>53</v>
      </c>
      <c r="H44">
        <f>MAX(IFERROR(VLOOKUP(LOWER(SUBSTITUTE(E44,"*","")),Parameters!$E$2:$F$5,2,FALSE),0),IFERROR(VLOOKUP(LOWER(SUBSTITUTE(G44,"*","")),Parameters!$E$2:$F$5,2,FALSE),0))</f>
        <v>0</v>
      </c>
      <c r="I44" t="s">
        <v>55</v>
      </c>
    </row>
    <row r="45" spans="1:9">
      <c r="A45" t="s">
        <v>118</v>
      </c>
      <c r="B45" t="s">
        <v>52</v>
      </c>
      <c r="C45">
        <v>0</v>
      </c>
      <c r="D45">
        <v>0</v>
      </c>
      <c r="E45" t="s">
        <v>53</v>
      </c>
      <c r="F45">
        <v>0</v>
      </c>
      <c r="G45" t="s">
        <v>53</v>
      </c>
      <c r="H45">
        <f>MAX(IFERROR(VLOOKUP(LOWER(SUBSTITUTE(E45,"*","")),Parameters!$E$2:$F$5,2,FALSE),0),IFERROR(VLOOKUP(LOWER(SUBSTITUTE(G45,"*","")),Parameters!$E$2:$F$5,2,FALSE),0))</f>
        <v>0</v>
      </c>
      <c r="I45" t="s">
        <v>55</v>
      </c>
    </row>
    <row r="46" spans="1:9">
      <c r="A46" t="s">
        <v>119</v>
      </c>
      <c r="B46" t="s">
        <v>52</v>
      </c>
      <c r="C46">
        <v>0</v>
      </c>
      <c r="D46">
        <v>0</v>
      </c>
      <c r="E46" t="s">
        <v>53</v>
      </c>
      <c r="F46">
        <v>0</v>
      </c>
      <c r="G46" t="s">
        <v>53</v>
      </c>
      <c r="H46">
        <f>MAX(IFERROR(VLOOKUP(LOWER(SUBSTITUTE(E46,"*","")),Parameters!$E$2:$F$5,2,FALSE),0),IFERROR(VLOOKUP(LOWER(SUBSTITUTE(G46,"*","")),Parameters!$E$2:$F$5,2,FALSE),0))</f>
        <v>0</v>
      </c>
      <c r="I46" t="s">
        <v>55</v>
      </c>
    </row>
    <row r="47" spans="1:9">
      <c r="A47" t="s">
        <v>120</v>
      </c>
      <c r="B47" t="s">
        <v>121</v>
      </c>
      <c r="C47">
        <v>0</v>
      </c>
      <c r="D47">
        <v>1</v>
      </c>
      <c r="E47" t="s">
        <v>83</v>
      </c>
      <c r="F47">
        <v>1</v>
      </c>
      <c r="G47" t="s">
        <v>83</v>
      </c>
      <c r="H47">
        <f>MAX(IFERROR(VLOOKUP(LOWER(SUBSTITUTE(E47,"*","")),Parameters!$E$2:$F$5,2,FALSE),0),IFERROR(VLOOKUP(LOWER(SUBSTITUTE(G47,"*","")),Parameters!$E$2:$F$5,2,FALSE),0))</f>
        <v>2</v>
      </c>
      <c r="I47" t="s">
        <v>63</v>
      </c>
    </row>
    <row r="48" spans="1:9">
      <c r="A48" t="s">
        <v>122</v>
      </c>
      <c r="B48" t="s">
        <v>52</v>
      </c>
      <c r="C48">
        <v>0</v>
      </c>
      <c r="D48">
        <v>0</v>
      </c>
      <c r="E48" t="s">
        <v>53</v>
      </c>
      <c r="F48">
        <v>0</v>
      </c>
      <c r="G48" t="s">
        <v>53</v>
      </c>
      <c r="H48">
        <f>MAX(IFERROR(VLOOKUP(LOWER(SUBSTITUTE(E48,"*","")),Parameters!$E$2:$F$5,2,FALSE),0),IFERROR(VLOOKUP(LOWER(SUBSTITUTE(G48,"*","")),Parameters!$E$2:$F$5,2,FALSE),0))</f>
        <v>0</v>
      </c>
      <c r="I48" t="s">
        <v>55</v>
      </c>
    </row>
    <row r="49" spans="1:9">
      <c r="A49" t="s">
        <v>123</v>
      </c>
      <c r="B49" t="s">
        <v>52</v>
      </c>
      <c r="C49">
        <v>0</v>
      </c>
      <c r="D49">
        <v>0</v>
      </c>
      <c r="E49" t="s">
        <v>53</v>
      </c>
      <c r="F49">
        <v>0</v>
      </c>
      <c r="G49" t="s">
        <v>54</v>
      </c>
      <c r="H49">
        <f>MAX(IFERROR(VLOOKUP(LOWER(SUBSTITUTE(E49,"*","")),Parameters!$E$2:$F$5,2,FALSE),0),IFERROR(VLOOKUP(LOWER(SUBSTITUTE(G49,"*","")),Parameters!$E$2:$F$5,2,FALSE),0))</f>
        <v>1</v>
      </c>
      <c r="I49" t="s">
        <v>55</v>
      </c>
    </row>
    <row r="50" spans="1:9">
      <c r="A50" t="s">
        <v>124</v>
      </c>
      <c r="B50" t="s">
        <v>125</v>
      </c>
      <c r="C50">
        <v>1</v>
      </c>
      <c r="D50">
        <v>1</v>
      </c>
      <c r="E50" t="s">
        <v>86</v>
      </c>
      <c r="F50">
        <v>1</v>
      </c>
      <c r="G50" t="s">
        <v>83</v>
      </c>
      <c r="H50">
        <f>MAX(IFERROR(VLOOKUP(LOWER(SUBSTITUTE(E50,"*","")),Parameters!$E$2:$F$5,2,FALSE),0),IFERROR(VLOOKUP(LOWER(SUBSTITUTE(G50,"*","")),Parameters!$E$2:$F$5,2,FALSE),0))</f>
        <v>3</v>
      </c>
      <c r="I50" t="s">
        <v>63</v>
      </c>
    </row>
    <row r="51" spans="1:9">
      <c r="A51" t="s">
        <v>126</v>
      </c>
      <c r="B51" t="s">
        <v>52</v>
      </c>
      <c r="C51">
        <v>0</v>
      </c>
      <c r="D51">
        <v>0</v>
      </c>
      <c r="E51" t="s">
        <v>53</v>
      </c>
      <c r="F51">
        <v>1</v>
      </c>
      <c r="G51" t="s">
        <v>83</v>
      </c>
      <c r="H51">
        <f>MAX(IFERROR(VLOOKUP(LOWER(SUBSTITUTE(E51,"*","")),Parameters!$E$2:$F$5,2,FALSE),0),IFERROR(VLOOKUP(LOWER(SUBSTITUTE(G51,"*","")),Parameters!$E$2:$F$5,2,FALSE),0))</f>
        <v>2</v>
      </c>
      <c r="I51" t="s">
        <v>55</v>
      </c>
    </row>
    <row r="52" spans="1:9">
      <c r="A52" t="s">
        <v>127</v>
      </c>
      <c r="B52" t="s">
        <v>125</v>
      </c>
      <c r="C52">
        <v>1</v>
      </c>
      <c r="D52">
        <v>1</v>
      </c>
      <c r="E52" t="s">
        <v>86</v>
      </c>
      <c r="F52">
        <v>1</v>
      </c>
      <c r="G52" t="s">
        <v>83</v>
      </c>
      <c r="H52">
        <f>MAX(IFERROR(VLOOKUP(LOWER(SUBSTITUTE(E52,"*","")),Parameters!$E$2:$F$5,2,FALSE),0),IFERROR(VLOOKUP(LOWER(SUBSTITUTE(G52,"*","")),Parameters!$E$2:$F$5,2,FALSE),0))</f>
        <v>3</v>
      </c>
      <c r="I52" t="s">
        <v>63</v>
      </c>
    </row>
    <row r="53" spans="1:9">
      <c r="A53" t="s">
        <v>128</v>
      </c>
      <c r="B53" t="s">
        <v>52</v>
      </c>
      <c r="C53">
        <v>0</v>
      </c>
      <c r="D53">
        <v>0</v>
      </c>
      <c r="E53" t="s">
        <v>53</v>
      </c>
      <c r="F53">
        <v>0</v>
      </c>
      <c r="G53" t="s">
        <v>53</v>
      </c>
      <c r="H53">
        <f>MAX(IFERROR(VLOOKUP(LOWER(SUBSTITUTE(E53,"*","")),Parameters!$E$2:$F$5,2,FALSE),0),IFERROR(VLOOKUP(LOWER(SUBSTITUTE(G53,"*","")),Parameters!$E$2:$F$5,2,FALSE),0))</f>
        <v>0</v>
      </c>
      <c r="I53" t="s">
        <v>55</v>
      </c>
    </row>
    <row r="54" spans="1:9">
      <c r="A54" t="s">
        <v>129</v>
      </c>
      <c r="B54" t="s">
        <v>52</v>
      </c>
      <c r="C54">
        <v>0</v>
      </c>
      <c r="D54">
        <v>0</v>
      </c>
      <c r="E54" t="s">
        <v>53</v>
      </c>
      <c r="F54">
        <v>0</v>
      </c>
      <c r="G54" t="s">
        <v>53</v>
      </c>
      <c r="H54">
        <f>MAX(IFERROR(VLOOKUP(LOWER(SUBSTITUTE(E54,"*","")),Parameters!$E$2:$F$5,2,FALSE),0),IFERROR(VLOOKUP(LOWER(SUBSTITUTE(G54,"*","")),Parameters!$E$2:$F$5,2,FALSE),0))</f>
        <v>0</v>
      </c>
      <c r="I54" t="s">
        <v>55</v>
      </c>
    </row>
    <row r="55" spans="1:9">
      <c r="A55" t="s">
        <v>130</v>
      </c>
      <c r="B55" t="s">
        <v>52</v>
      </c>
      <c r="C55">
        <v>0</v>
      </c>
      <c r="D55">
        <v>0</v>
      </c>
      <c r="E55" t="s">
        <v>53</v>
      </c>
      <c r="F55">
        <v>0</v>
      </c>
      <c r="G55" t="s">
        <v>53</v>
      </c>
      <c r="H55">
        <f>MAX(IFERROR(VLOOKUP(LOWER(SUBSTITUTE(E55,"*","")),Parameters!$E$2:$F$5,2,FALSE),0),IFERROR(VLOOKUP(LOWER(SUBSTITUTE(G55,"*","")),Parameters!$E$2:$F$5,2,FALSE),0))</f>
        <v>0</v>
      </c>
      <c r="I55" t="s">
        <v>55</v>
      </c>
    </row>
    <row r="56" spans="1:9">
      <c r="A56" t="s">
        <v>131</v>
      </c>
      <c r="B56" t="s">
        <v>52</v>
      </c>
      <c r="C56">
        <v>0</v>
      </c>
      <c r="D56">
        <v>0</v>
      </c>
      <c r="E56" t="s">
        <v>54</v>
      </c>
      <c r="F56">
        <v>0</v>
      </c>
      <c r="G56" t="s">
        <v>54</v>
      </c>
      <c r="H56">
        <f>MAX(IFERROR(VLOOKUP(LOWER(SUBSTITUTE(E56,"*","")),Parameters!$E$2:$F$5,2,FALSE),0),IFERROR(VLOOKUP(LOWER(SUBSTITUTE(G56,"*","")),Parameters!$E$2:$F$5,2,FALSE),0))</f>
        <v>1</v>
      </c>
      <c r="I56" t="s">
        <v>55</v>
      </c>
    </row>
    <row r="57" spans="1:9">
      <c r="A57" t="s">
        <v>132</v>
      </c>
      <c r="B57" t="s">
        <v>52</v>
      </c>
      <c r="C57">
        <v>0</v>
      </c>
      <c r="D57">
        <v>0</v>
      </c>
      <c r="E57" t="s">
        <v>53</v>
      </c>
      <c r="F57">
        <v>0</v>
      </c>
      <c r="G57" t="s">
        <v>53</v>
      </c>
      <c r="H57">
        <f>MAX(IFERROR(VLOOKUP(LOWER(SUBSTITUTE(E57,"*","")),Parameters!$E$2:$F$5,2,FALSE),0),IFERROR(VLOOKUP(LOWER(SUBSTITUTE(G57,"*","")),Parameters!$E$2:$F$5,2,FALSE),0))</f>
        <v>0</v>
      </c>
      <c r="I57" t="s">
        <v>55</v>
      </c>
    </row>
    <row r="58" spans="1:9">
      <c r="A58" t="s">
        <v>133</v>
      </c>
      <c r="B58" t="s">
        <v>52</v>
      </c>
      <c r="C58">
        <v>0</v>
      </c>
      <c r="D58">
        <v>0</v>
      </c>
      <c r="E58" t="s">
        <v>53</v>
      </c>
      <c r="F58">
        <v>0</v>
      </c>
      <c r="G58" t="s">
        <v>54</v>
      </c>
      <c r="H58">
        <f>MAX(IFERROR(VLOOKUP(LOWER(SUBSTITUTE(E58,"*","")),Parameters!$E$2:$F$5,2,FALSE),0),IFERROR(VLOOKUP(LOWER(SUBSTITUTE(G58,"*","")),Parameters!$E$2:$F$5,2,FALSE),0))</f>
        <v>1</v>
      </c>
      <c r="I58" t="s">
        <v>55</v>
      </c>
    </row>
    <row r="59" spans="1:9">
      <c r="A59" t="s">
        <v>134</v>
      </c>
      <c r="B59" t="s">
        <v>52</v>
      </c>
      <c r="C59">
        <v>0</v>
      </c>
      <c r="D59">
        <v>0</v>
      </c>
      <c r="E59" t="s">
        <v>53</v>
      </c>
      <c r="F59">
        <v>0</v>
      </c>
      <c r="G59" t="s">
        <v>53</v>
      </c>
      <c r="H59">
        <f>MAX(IFERROR(VLOOKUP(LOWER(SUBSTITUTE(E59,"*","")),Parameters!$E$2:$F$5,2,FALSE),0),IFERROR(VLOOKUP(LOWER(SUBSTITUTE(G59,"*","")),Parameters!$E$2:$F$5,2,FALSE),0))</f>
        <v>0</v>
      </c>
      <c r="I59" t="s">
        <v>55</v>
      </c>
    </row>
    <row r="60" spans="1:9">
      <c r="A60" t="s">
        <v>135</v>
      </c>
      <c r="B60" t="s">
        <v>52</v>
      </c>
      <c r="C60">
        <v>0</v>
      </c>
      <c r="D60">
        <v>0</v>
      </c>
      <c r="E60" t="s">
        <v>53</v>
      </c>
      <c r="F60">
        <v>0</v>
      </c>
      <c r="G60" t="s">
        <v>53</v>
      </c>
      <c r="H60">
        <f>MAX(IFERROR(VLOOKUP(LOWER(SUBSTITUTE(E60,"*","")),Parameters!$E$2:$F$5,2,FALSE),0),IFERROR(VLOOKUP(LOWER(SUBSTITUTE(G60,"*","")),Parameters!$E$2:$F$5,2,FALSE),0))</f>
        <v>0</v>
      </c>
      <c r="I60" t="s">
        <v>55</v>
      </c>
    </row>
    <row r="61" spans="1:9">
      <c r="A61" t="s">
        <v>136</v>
      </c>
      <c r="B61" t="s">
        <v>52</v>
      </c>
      <c r="C61">
        <v>0</v>
      </c>
      <c r="D61">
        <v>0</v>
      </c>
      <c r="E61" t="s">
        <v>53</v>
      </c>
      <c r="F61">
        <v>0</v>
      </c>
      <c r="G61" t="s">
        <v>54</v>
      </c>
      <c r="H61">
        <f>MAX(IFERROR(VLOOKUP(LOWER(SUBSTITUTE(E61,"*","")),Parameters!$E$2:$F$5,2,FALSE),0),IFERROR(VLOOKUP(LOWER(SUBSTITUTE(G61,"*","")),Parameters!$E$2:$F$5,2,FALSE),0))</f>
        <v>1</v>
      </c>
      <c r="I61" t="s">
        <v>55</v>
      </c>
    </row>
    <row r="62" spans="1:9">
      <c r="A62" t="s">
        <v>137</v>
      </c>
      <c r="B62" t="s">
        <v>52</v>
      </c>
      <c r="C62">
        <v>0</v>
      </c>
      <c r="D62">
        <v>0</v>
      </c>
      <c r="E62" t="s">
        <v>53</v>
      </c>
      <c r="F62">
        <v>0</v>
      </c>
      <c r="G62" t="s">
        <v>53</v>
      </c>
      <c r="H62">
        <f>MAX(IFERROR(VLOOKUP(LOWER(SUBSTITUTE(E62,"*","")),Parameters!$E$2:$F$5,2,FALSE),0),IFERROR(VLOOKUP(LOWER(SUBSTITUTE(G62,"*","")),Parameters!$E$2:$F$5,2,FALSE),0))</f>
        <v>0</v>
      </c>
      <c r="I62" t="s">
        <v>55</v>
      </c>
    </row>
    <row r="63" spans="1:9">
      <c r="A63" t="s">
        <v>138</v>
      </c>
      <c r="B63" t="s">
        <v>52</v>
      </c>
      <c r="C63">
        <v>0</v>
      </c>
      <c r="D63">
        <v>0</v>
      </c>
      <c r="E63" t="s">
        <v>53</v>
      </c>
      <c r="F63">
        <v>0</v>
      </c>
      <c r="G63" t="s">
        <v>53</v>
      </c>
      <c r="H63">
        <f>MAX(IFERROR(VLOOKUP(LOWER(SUBSTITUTE(E63,"*","")),Parameters!$E$2:$F$5,2,FALSE),0),IFERROR(VLOOKUP(LOWER(SUBSTITUTE(G63,"*","")),Parameters!$E$2:$F$5,2,FALSE),0))</f>
        <v>0</v>
      </c>
      <c r="I63" t="s">
        <v>55</v>
      </c>
    </row>
    <row r="64" spans="1:9">
      <c r="A64" t="s">
        <v>139</v>
      </c>
      <c r="B64" t="s">
        <v>52</v>
      </c>
      <c r="C64">
        <v>0</v>
      </c>
      <c r="D64">
        <v>0</v>
      </c>
      <c r="E64" t="s">
        <v>53</v>
      </c>
      <c r="F64">
        <v>0</v>
      </c>
      <c r="G64" t="s">
        <v>54</v>
      </c>
      <c r="H64">
        <f>MAX(IFERROR(VLOOKUP(LOWER(SUBSTITUTE(E64,"*","")),Parameters!$E$2:$F$5,2,FALSE),0),IFERROR(VLOOKUP(LOWER(SUBSTITUTE(G64,"*","")),Parameters!$E$2:$F$5,2,FALSE),0))</f>
        <v>1</v>
      </c>
      <c r="I64" t="s">
        <v>55</v>
      </c>
    </row>
    <row r="65" spans="1:9">
      <c r="A65" t="s">
        <v>140</v>
      </c>
      <c r="B65" t="s">
        <v>52</v>
      </c>
      <c r="C65">
        <v>0</v>
      </c>
      <c r="D65">
        <v>0</v>
      </c>
      <c r="E65" t="s">
        <v>53</v>
      </c>
      <c r="F65">
        <v>0</v>
      </c>
      <c r="G65" t="s">
        <v>54</v>
      </c>
      <c r="H65">
        <f>MAX(IFERROR(VLOOKUP(LOWER(SUBSTITUTE(E65,"*","")),Parameters!$E$2:$F$5,2,FALSE),0),IFERROR(VLOOKUP(LOWER(SUBSTITUTE(G65,"*","")),Parameters!$E$2:$F$5,2,FALSE),0))</f>
        <v>1</v>
      </c>
      <c r="I65" t="s">
        <v>55</v>
      </c>
    </row>
    <row r="66" spans="1:9">
      <c r="A66" t="s">
        <v>141</v>
      </c>
      <c r="B66" t="s">
        <v>52</v>
      </c>
      <c r="C66">
        <v>0</v>
      </c>
      <c r="D66">
        <v>0</v>
      </c>
      <c r="E66" t="s">
        <v>53</v>
      </c>
      <c r="F66">
        <v>0</v>
      </c>
      <c r="G66" t="s">
        <v>54</v>
      </c>
      <c r="H66">
        <f>MAX(IFERROR(VLOOKUP(LOWER(SUBSTITUTE(E66,"*","")),Parameters!$E$2:$F$5,2,FALSE),0),IFERROR(VLOOKUP(LOWER(SUBSTITUTE(G66,"*","")),Parameters!$E$2:$F$5,2,FALSE),0))</f>
        <v>1</v>
      </c>
      <c r="I66" t="s">
        <v>55</v>
      </c>
    </row>
    <row r="67" spans="1:9">
      <c r="A67" t="s">
        <v>142</v>
      </c>
      <c r="B67" t="s">
        <v>52</v>
      </c>
      <c r="C67">
        <v>0</v>
      </c>
      <c r="D67">
        <v>0</v>
      </c>
      <c r="E67" t="s">
        <v>53</v>
      </c>
      <c r="F67">
        <v>1</v>
      </c>
      <c r="G67" t="s">
        <v>83</v>
      </c>
      <c r="H67">
        <f>MAX(IFERROR(VLOOKUP(LOWER(SUBSTITUTE(E67,"*","")),Parameters!$E$2:$F$5,2,FALSE),0),IFERROR(VLOOKUP(LOWER(SUBSTITUTE(G67,"*","")),Parameters!$E$2:$F$5,2,FALSE),0))</f>
        <v>2</v>
      </c>
      <c r="I67" t="s">
        <v>55</v>
      </c>
    </row>
    <row r="68" spans="1:9">
      <c r="A68" t="s">
        <v>143</v>
      </c>
      <c r="B68" t="s">
        <v>52</v>
      </c>
      <c r="C68">
        <v>0</v>
      </c>
      <c r="D68">
        <v>0</v>
      </c>
      <c r="E68" t="s">
        <v>53</v>
      </c>
      <c r="F68">
        <v>1</v>
      </c>
      <c r="G68" t="s">
        <v>83</v>
      </c>
      <c r="H68">
        <f>MAX(IFERROR(VLOOKUP(LOWER(SUBSTITUTE(E68,"*","")),Parameters!$E$2:$F$5,2,FALSE),0),IFERROR(VLOOKUP(LOWER(SUBSTITUTE(G68,"*","")),Parameters!$E$2:$F$5,2,FALSE),0))</f>
        <v>2</v>
      </c>
      <c r="I68" t="s">
        <v>55</v>
      </c>
    </row>
    <row r="69" spans="1:9">
      <c r="A69" t="s">
        <v>144</v>
      </c>
      <c r="B69" t="s">
        <v>52</v>
      </c>
      <c r="C69">
        <v>0</v>
      </c>
      <c r="D69">
        <v>0</v>
      </c>
      <c r="E69" t="s">
        <v>54</v>
      </c>
      <c r="F69">
        <v>0</v>
      </c>
      <c r="G69" t="s">
        <v>54</v>
      </c>
      <c r="H69">
        <f>MAX(IFERROR(VLOOKUP(LOWER(SUBSTITUTE(E69,"*","")),Parameters!$E$2:$F$5,2,FALSE),0),IFERROR(VLOOKUP(LOWER(SUBSTITUTE(G69,"*","")),Parameters!$E$2:$F$5,2,FALSE),0))</f>
        <v>1</v>
      </c>
      <c r="I69" t="s">
        <v>55</v>
      </c>
    </row>
    <row r="70" spans="1:9">
      <c r="A70" t="s">
        <v>145</v>
      </c>
      <c r="B70" t="s">
        <v>146</v>
      </c>
      <c r="C70">
        <v>1</v>
      </c>
      <c r="D70">
        <v>1</v>
      </c>
      <c r="E70" t="s">
        <v>86</v>
      </c>
      <c r="F70">
        <v>1</v>
      </c>
      <c r="G70" t="s">
        <v>83</v>
      </c>
      <c r="H70">
        <f>MAX(IFERROR(VLOOKUP(LOWER(SUBSTITUTE(E70,"*","")),Parameters!$E$2:$F$5,2,FALSE),0),IFERROR(VLOOKUP(LOWER(SUBSTITUTE(G70,"*","")),Parameters!$E$2:$F$5,2,FALSE),0))</f>
        <v>3</v>
      </c>
      <c r="I70" t="s">
        <v>63</v>
      </c>
    </row>
    <row r="71" spans="1:9">
      <c r="A71" t="s">
        <v>147</v>
      </c>
      <c r="B71" t="s">
        <v>52</v>
      </c>
      <c r="C71">
        <v>0</v>
      </c>
      <c r="D71">
        <v>0</v>
      </c>
      <c r="E71" t="s">
        <v>53</v>
      </c>
      <c r="F71">
        <v>0</v>
      </c>
      <c r="G71" t="s">
        <v>53</v>
      </c>
      <c r="H71">
        <f>MAX(IFERROR(VLOOKUP(LOWER(SUBSTITUTE(E71,"*","")),Parameters!$E$2:$F$5,2,FALSE),0),IFERROR(VLOOKUP(LOWER(SUBSTITUTE(G71,"*","")),Parameters!$E$2:$F$5,2,FALSE),0))</f>
        <v>0</v>
      </c>
      <c r="I71" t="s">
        <v>55</v>
      </c>
    </row>
    <row r="72" spans="1:9">
      <c r="A72" t="s">
        <v>148</v>
      </c>
      <c r="B72" t="s">
        <v>52</v>
      </c>
      <c r="C72">
        <v>0</v>
      </c>
      <c r="D72">
        <v>0</v>
      </c>
      <c r="E72" t="s">
        <v>53</v>
      </c>
      <c r="F72">
        <v>0</v>
      </c>
      <c r="G72" t="s">
        <v>54</v>
      </c>
      <c r="H72">
        <f>MAX(IFERROR(VLOOKUP(LOWER(SUBSTITUTE(E72,"*","")),Parameters!$E$2:$F$5,2,FALSE),0),IFERROR(VLOOKUP(LOWER(SUBSTITUTE(G72,"*","")),Parameters!$E$2:$F$5,2,FALSE),0))</f>
        <v>1</v>
      </c>
      <c r="I72" t="s">
        <v>55</v>
      </c>
    </row>
    <row r="73" spans="1:9">
      <c r="A73" t="s">
        <v>149</v>
      </c>
      <c r="B73" t="s">
        <v>150</v>
      </c>
      <c r="C73">
        <v>0</v>
      </c>
      <c r="D73">
        <v>0</v>
      </c>
      <c r="E73" t="s">
        <v>54</v>
      </c>
      <c r="F73">
        <v>1</v>
      </c>
      <c r="G73" t="s">
        <v>83</v>
      </c>
      <c r="H73">
        <f>MAX(IFERROR(VLOOKUP(LOWER(SUBSTITUTE(E73,"*","")),Parameters!$E$2:$F$5,2,FALSE),0),IFERROR(VLOOKUP(LOWER(SUBSTITUTE(G73,"*","")),Parameters!$E$2:$F$5,2,FALSE),0))</f>
        <v>2</v>
      </c>
      <c r="I73" t="s">
        <v>63</v>
      </c>
    </row>
    <row r="74" spans="1:9">
      <c r="A74" t="s">
        <v>151</v>
      </c>
      <c r="B74" t="s">
        <v>52</v>
      </c>
      <c r="C74">
        <v>0</v>
      </c>
      <c r="D74">
        <v>0</v>
      </c>
      <c r="E74" t="s">
        <v>53</v>
      </c>
      <c r="F74">
        <v>1</v>
      </c>
      <c r="G74" t="s">
        <v>83</v>
      </c>
      <c r="H74">
        <f>MAX(IFERROR(VLOOKUP(LOWER(SUBSTITUTE(E74,"*","")),Parameters!$E$2:$F$5,2,FALSE),0),IFERROR(VLOOKUP(LOWER(SUBSTITUTE(G74,"*","")),Parameters!$E$2:$F$5,2,FALSE),0))</f>
        <v>2</v>
      </c>
      <c r="I74" t="s">
        <v>55</v>
      </c>
    </row>
    <row r="75" spans="1:9">
      <c r="A75" t="s">
        <v>152</v>
      </c>
      <c r="B75" t="s">
        <v>52</v>
      </c>
      <c r="C75">
        <v>0</v>
      </c>
      <c r="D75">
        <v>0</v>
      </c>
      <c r="E75" t="s">
        <v>53</v>
      </c>
      <c r="F75">
        <v>1</v>
      </c>
      <c r="G75" t="s">
        <v>86</v>
      </c>
      <c r="H75">
        <f>MAX(IFERROR(VLOOKUP(LOWER(SUBSTITUTE(E75,"*","")),Parameters!$E$2:$F$5,2,FALSE),0),IFERROR(VLOOKUP(LOWER(SUBSTITUTE(G75,"*","")),Parameters!$E$2:$F$5,2,FALSE),0))</f>
        <v>3</v>
      </c>
      <c r="I75" t="s">
        <v>55</v>
      </c>
    </row>
    <row r="76" spans="1:9">
      <c r="A76" t="s">
        <v>153</v>
      </c>
      <c r="B76" t="s">
        <v>154</v>
      </c>
      <c r="C76">
        <v>1</v>
      </c>
      <c r="D76">
        <v>0</v>
      </c>
      <c r="E76" t="s">
        <v>53</v>
      </c>
      <c r="F76">
        <v>1</v>
      </c>
      <c r="G76" t="s">
        <v>86</v>
      </c>
      <c r="H76">
        <f>MAX(IFERROR(VLOOKUP(LOWER(SUBSTITUTE(E76,"*","")),Parameters!$E$2:$F$5,2,FALSE),0),IFERROR(VLOOKUP(LOWER(SUBSTITUTE(G76,"*","")),Parameters!$E$2:$F$5,2,FALSE),0))</f>
        <v>3</v>
      </c>
      <c r="I76" t="s">
        <v>63</v>
      </c>
    </row>
    <row r="77" spans="1:9">
      <c r="A77" t="s">
        <v>155</v>
      </c>
      <c r="B77" t="s">
        <v>52</v>
      </c>
      <c r="C77">
        <v>0</v>
      </c>
      <c r="D77">
        <v>0</v>
      </c>
      <c r="E77" t="s">
        <v>53</v>
      </c>
      <c r="F77">
        <v>0</v>
      </c>
      <c r="G77" t="s">
        <v>54</v>
      </c>
      <c r="H77">
        <f>MAX(IFERROR(VLOOKUP(LOWER(SUBSTITUTE(E77,"*","")),Parameters!$E$2:$F$5,2,FALSE),0),IFERROR(VLOOKUP(LOWER(SUBSTITUTE(G77,"*","")),Parameters!$E$2:$F$5,2,FALSE),0))</f>
        <v>1</v>
      </c>
      <c r="I77" t="s">
        <v>55</v>
      </c>
    </row>
    <row r="78" spans="1:9">
      <c r="A78" t="s">
        <v>156</v>
      </c>
      <c r="B78" t="s">
        <v>52</v>
      </c>
      <c r="C78">
        <v>0</v>
      </c>
      <c r="D78">
        <v>0</v>
      </c>
      <c r="E78" t="s">
        <v>53</v>
      </c>
      <c r="F78">
        <v>0</v>
      </c>
      <c r="G78" t="s">
        <v>53</v>
      </c>
      <c r="H78">
        <f>MAX(IFERROR(VLOOKUP(LOWER(SUBSTITUTE(E78,"*","")),Parameters!$E$2:$F$5,2,FALSE),0),IFERROR(VLOOKUP(LOWER(SUBSTITUTE(G78,"*","")),Parameters!$E$2:$F$5,2,FALSE),0))</f>
        <v>0</v>
      </c>
      <c r="I78" t="s">
        <v>55</v>
      </c>
    </row>
    <row r="79" spans="1:9">
      <c r="A79" t="s">
        <v>157</v>
      </c>
      <c r="B79" t="s">
        <v>52</v>
      </c>
      <c r="C79">
        <v>0</v>
      </c>
      <c r="D79">
        <v>0</v>
      </c>
      <c r="E79" t="s">
        <v>53</v>
      </c>
      <c r="F79">
        <v>0</v>
      </c>
      <c r="G79" t="s">
        <v>53</v>
      </c>
      <c r="H79">
        <f>MAX(IFERROR(VLOOKUP(LOWER(SUBSTITUTE(E79,"*","")),Parameters!$E$2:$F$5,2,FALSE),0),IFERROR(VLOOKUP(LOWER(SUBSTITUTE(G79,"*","")),Parameters!$E$2:$F$5,2,FALSE),0))</f>
        <v>0</v>
      </c>
      <c r="I79" t="s">
        <v>55</v>
      </c>
    </row>
    <row r="80" spans="1:9">
      <c r="A80" t="s">
        <v>158</v>
      </c>
      <c r="B80" t="s">
        <v>52</v>
      </c>
      <c r="C80">
        <v>0</v>
      </c>
      <c r="D80">
        <v>0</v>
      </c>
      <c r="E80" t="s">
        <v>53</v>
      </c>
      <c r="F80">
        <v>0</v>
      </c>
      <c r="G80" t="s">
        <v>54</v>
      </c>
      <c r="H80">
        <f>MAX(IFERROR(VLOOKUP(LOWER(SUBSTITUTE(E80,"*","")),Parameters!$E$2:$F$5,2,FALSE),0),IFERROR(VLOOKUP(LOWER(SUBSTITUTE(G80,"*","")),Parameters!$E$2:$F$5,2,FALSE),0))</f>
        <v>1</v>
      </c>
      <c r="I80" t="s">
        <v>55</v>
      </c>
    </row>
    <row r="81" spans="1:9">
      <c r="A81" t="s">
        <v>159</v>
      </c>
      <c r="B81" t="s">
        <v>52</v>
      </c>
      <c r="C81">
        <v>0</v>
      </c>
      <c r="D81">
        <v>0</v>
      </c>
      <c r="E81" t="s">
        <v>53</v>
      </c>
      <c r="F81">
        <v>0</v>
      </c>
      <c r="G81" t="s">
        <v>53</v>
      </c>
      <c r="H81">
        <f>MAX(IFERROR(VLOOKUP(LOWER(SUBSTITUTE(E81,"*","")),Parameters!$E$2:$F$5,2,FALSE),0),IFERROR(VLOOKUP(LOWER(SUBSTITUTE(G81,"*","")),Parameters!$E$2:$F$5,2,FALSE),0))</f>
        <v>0</v>
      </c>
      <c r="I81" t="s">
        <v>55</v>
      </c>
    </row>
    <row r="82" spans="1:9">
      <c r="A82" t="s">
        <v>160</v>
      </c>
      <c r="B82" t="s">
        <v>52</v>
      </c>
      <c r="C82">
        <v>0</v>
      </c>
      <c r="D82">
        <v>0</v>
      </c>
      <c r="E82" t="s">
        <v>53</v>
      </c>
      <c r="F82">
        <v>0</v>
      </c>
      <c r="G82" t="s">
        <v>53</v>
      </c>
      <c r="H82">
        <f>MAX(IFERROR(VLOOKUP(LOWER(SUBSTITUTE(E82,"*","")),Parameters!$E$2:$F$5,2,FALSE),0),IFERROR(VLOOKUP(LOWER(SUBSTITUTE(G82,"*","")),Parameters!$E$2:$F$5,2,FALSE),0))</f>
        <v>0</v>
      </c>
      <c r="I82" t="s">
        <v>55</v>
      </c>
    </row>
    <row r="83" spans="1:9">
      <c r="A83" t="s">
        <v>161</v>
      </c>
      <c r="B83" t="s">
        <v>52</v>
      </c>
      <c r="C83">
        <v>0</v>
      </c>
      <c r="D83">
        <v>0</v>
      </c>
      <c r="E83" t="s">
        <v>53</v>
      </c>
      <c r="F83">
        <v>0</v>
      </c>
      <c r="G83" t="s">
        <v>54</v>
      </c>
      <c r="H83">
        <f>MAX(IFERROR(VLOOKUP(LOWER(SUBSTITUTE(E83,"*","")),Parameters!$E$2:$F$5,2,FALSE),0),IFERROR(VLOOKUP(LOWER(SUBSTITUTE(G83,"*","")),Parameters!$E$2:$F$5,2,FALSE),0))</f>
        <v>1</v>
      </c>
      <c r="I83" t="s">
        <v>55</v>
      </c>
    </row>
    <row r="84" spans="1:9">
      <c r="A84" t="s">
        <v>162</v>
      </c>
      <c r="B84" t="s">
        <v>52</v>
      </c>
      <c r="C84">
        <v>0</v>
      </c>
      <c r="D84">
        <v>0</v>
      </c>
      <c r="E84" t="s">
        <v>53</v>
      </c>
      <c r="F84">
        <v>1</v>
      </c>
      <c r="G84" t="s">
        <v>83</v>
      </c>
      <c r="H84">
        <f>MAX(IFERROR(VLOOKUP(LOWER(SUBSTITUTE(E84,"*","")),Parameters!$E$2:$F$5,2,FALSE),0),IFERROR(VLOOKUP(LOWER(SUBSTITUTE(G84,"*","")),Parameters!$E$2:$F$5,2,FALSE),0))</f>
        <v>2</v>
      </c>
      <c r="I84" t="s">
        <v>55</v>
      </c>
    </row>
    <row r="85" spans="1:9">
      <c r="A85" t="s">
        <v>163</v>
      </c>
      <c r="B85" t="s">
        <v>52</v>
      </c>
      <c r="C85">
        <v>0</v>
      </c>
      <c r="D85">
        <v>0</v>
      </c>
      <c r="E85" t="s">
        <v>54</v>
      </c>
      <c r="F85">
        <v>0</v>
      </c>
      <c r="G85" t="s">
        <v>54</v>
      </c>
      <c r="H85">
        <f>MAX(IFERROR(VLOOKUP(LOWER(SUBSTITUTE(E85,"*","")),Parameters!$E$2:$F$5,2,FALSE),0),IFERROR(VLOOKUP(LOWER(SUBSTITUTE(G85,"*","")),Parameters!$E$2:$F$5,2,FALSE),0))</f>
        <v>1</v>
      </c>
      <c r="I85" t="s">
        <v>55</v>
      </c>
    </row>
    <row r="86" spans="1:9">
      <c r="A86" t="s">
        <v>164</v>
      </c>
      <c r="B86" t="s">
        <v>165</v>
      </c>
      <c r="C86">
        <v>0</v>
      </c>
      <c r="D86">
        <v>0</v>
      </c>
      <c r="E86" t="s">
        <v>54</v>
      </c>
      <c r="F86">
        <v>1</v>
      </c>
      <c r="G86" t="s">
        <v>83</v>
      </c>
      <c r="H86">
        <f>MAX(IFERROR(VLOOKUP(LOWER(SUBSTITUTE(E86,"*","")),Parameters!$E$2:$F$5,2,FALSE),0),IFERROR(VLOOKUP(LOWER(SUBSTITUTE(G86,"*","")),Parameters!$E$2:$F$5,2,FALSE),0))</f>
        <v>2</v>
      </c>
      <c r="I86" t="s">
        <v>63</v>
      </c>
    </row>
    <row r="87" spans="1:9">
      <c r="A87" t="s">
        <v>166</v>
      </c>
      <c r="B87" t="s">
        <v>52</v>
      </c>
      <c r="C87">
        <v>0</v>
      </c>
      <c r="D87">
        <v>0</v>
      </c>
      <c r="E87" t="s">
        <v>54</v>
      </c>
      <c r="F87">
        <v>0</v>
      </c>
      <c r="G87" t="s">
        <v>54</v>
      </c>
      <c r="H87">
        <f>MAX(IFERROR(VLOOKUP(LOWER(SUBSTITUTE(E87,"*","")),Parameters!$E$2:$F$5,2,FALSE),0),IFERROR(VLOOKUP(LOWER(SUBSTITUTE(G87,"*","")),Parameters!$E$2:$F$5,2,FALSE),0))</f>
        <v>1</v>
      </c>
      <c r="I87" t="s">
        <v>55</v>
      </c>
    </row>
    <row r="88" spans="1:9">
      <c r="A88" t="s">
        <v>167</v>
      </c>
      <c r="B88" t="s">
        <v>146</v>
      </c>
      <c r="C88">
        <v>1</v>
      </c>
      <c r="D88">
        <v>1</v>
      </c>
      <c r="E88" t="s">
        <v>86</v>
      </c>
      <c r="F88">
        <v>1</v>
      </c>
      <c r="G88" t="s">
        <v>83</v>
      </c>
      <c r="H88">
        <f>MAX(IFERROR(VLOOKUP(LOWER(SUBSTITUTE(E88,"*","")),Parameters!$E$2:$F$5,2,FALSE),0),IFERROR(VLOOKUP(LOWER(SUBSTITUTE(G88,"*","")),Parameters!$E$2:$F$5,2,FALSE),0))</f>
        <v>3</v>
      </c>
      <c r="I88" t="s">
        <v>63</v>
      </c>
    </row>
    <row r="89" spans="1:9">
      <c r="A89" t="s">
        <v>168</v>
      </c>
      <c r="B89" t="s">
        <v>52</v>
      </c>
      <c r="C89">
        <v>0</v>
      </c>
      <c r="D89">
        <v>0</v>
      </c>
      <c r="E89" t="s">
        <v>53</v>
      </c>
      <c r="F89">
        <v>1</v>
      </c>
      <c r="G89" t="s">
        <v>83</v>
      </c>
      <c r="H89">
        <f>MAX(IFERROR(VLOOKUP(LOWER(SUBSTITUTE(E89,"*","")),Parameters!$E$2:$F$5,2,FALSE),0),IFERROR(VLOOKUP(LOWER(SUBSTITUTE(G89,"*","")),Parameters!$E$2:$F$5,2,FALSE),0))</f>
        <v>2</v>
      </c>
      <c r="I89" t="s">
        <v>55</v>
      </c>
    </row>
    <row r="90" spans="1:9">
      <c r="A90" t="s">
        <v>169</v>
      </c>
      <c r="B90" t="s">
        <v>170</v>
      </c>
      <c r="C90">
        <v>1</v>
      </c>
      <c r="D90">
        <v>1</v>
      </c>
      <c r="E90" t="s">
        <v>86</v>
      </c>
      <c r="F90">
        <v>1</v>
      </c>
      <c r="G90" t="s">
        <v>83</v>
      </c>
      <c r="H90">
        <f>MAX(IFERROR(VLOOKUP(LOWER(SUBSTITUTE(E90,"*","")),Parameters!$E$2:$F$5,2,FALSE),0),IFERROR(VLOOKUP(LOWER(SUBSTITUTE(G90,"*","")),Parameters!$E$2:$F$5,2,FALSE),0))</f>
        <v>3</v>
      </c>
      <c r="I90" t="s">
        <v>63</v>
      </c>
    </row>
    <row r="91" spans="1:9">
      <c r="A91" t="s">
        <v>171</v>
      </c>
      <c r="B91" t="s">
        <v>52</v>
      </c>
      <c r="C91">
        <v>0</v>
      </c>
      <c r="D91">
        <v>0</v>
      </c>
      <c r="E91" t="s">
        <v>53</v>
      </c>
      <c r="F91">
        <v>0</v>
      </c>
      <c r="G91" t="s">
        <v>53</v>
      </c>
      <c r="H91">
        <f>MAX(IFERROR(VLOOKUP(LOWER(SUBSTITUTE(E91,"*","")),Parameters!$E$2:$F$5,2,FALSE),0),IFERROR(VLOOKUP(LOWER(SUBSTITUTE(G91,"*","")),Parameters!$E$2:$F$5,2,FALSE),0))</f>
        <v>0</v>
      </c>
      <c r="I91" t="s">
        <v>55</v>
      </c>
    </row>
    <row r="92" spans="1:9">
      <c r="A92" t="s">
        <v>172</v>
      </c>
      <c r="B92" t="s">
        <v>52</v>
      </c>
      <c r="C92">
        <v>0</v>
      </c>
      <c r="D92">
        <v>0</v>
      </c>
      <c r="E92" t="s">
        <v>53</v>
      </c>
      <c r="F92">
        <v>0</v>
      </c>
      <c r="G92" t="s">
        <v>53</v>
      </c>
      <c r="H92">
        <f>MAX(IFERROR(VLOOKUP(LOWER(SUBSTITUTE(E92,"*","")),Parameters!$E$2:$F$5,2,FALSE),0),IFERROR(VLOOKUP(LOWER(SUBSTITUTE(G92,"*","")),Parameters!$E$2:$F$5,2,FALSE),0))</f>
        <v>0</v>
      </c>
      <c r="I92" t="s">
        <v>55</v>
      </c>
    </row>
    <row r="93" spans="1:9">
      <c r="A93" t="s">
        <v>173</v>
      </c>
      <c r="B93" t="s">
        <v>52</v>
      </c>
      <c r="C93">
        <v>0</v>
      </c>
      <c r="D93">
        <v>0</v>
      </c>
      <c r="E93" t="s">
        <v>53</v>
      </c>
      <c r="F93">
        <v>0</v>
      </c>
      <c r="G93" t="s">
        <v>54</v>
      </c>
      <c r="H93">
        <f>MAX(IFERROR(VLOOKUP(LOWER(SUBSTITUTE(E93,"*","")),Parameters!$E$2:$F$5,2,FALSE),0),IFERROR(VLOOKUP(LOWER(SUBSTITUTE(G93,"*","")),Parameters!$E$2:$F$5,2,FALSE),0))</f>
        <v>1</v>
      </c>
      <c r="I93" t="s">
        <v>55</v>
      </c>
    </row>
    <row r="94" spans="1:9">
      <c r="A94" t="s">
        <v>174</v>
      </c>
      <c r="B94" t="s">
        <v>52</v>
      </c>
      <c r="C94">
        <v>0</v>
      </c>
      <c r="D94">
        <v>0</v>
      </c>
      <c r="E94" t="s">
        <v>53</v>
      </c>
      <c r="F94">
        <v>0</v>
      </c>
      <c r="G94" t="s">
        <v>53</v>
      </c>
      <c r="H94">
        <f>MAX(IFERROR(VLOOKUP(LOWER(SUBSTITUTE(E94,"*","")),Parameters!$E$2:$F$5,2,FALSE),0),IFERROR(VLOOKUP(LOWER(SUBSTITUTE(G94,"*","")),Parameters!$E$2:$F$5,2,FALSE),0))</f>
        <v>0</v>
      </c>
      <c r="I94" t="s">
        <v>55</v>
      </c>
    </row>
    <row r="95" spans="1:9">
      <c r="A95" t="s">
        <v>175</v>
      </c>
      <c r="B95" t="s">
        <v>52</v>
      </c>
      <c r="C95">
        <v>0</v>
      </c>
      <c r="D95">
        <v>0</v>
      </c>
      <c r="E95" t="s">
        <v>53</v>
      </c>
      <c r="F95">
        <v>0</v>
      </c>
      <c r="G95" t="s">
        <v>54</v>
      </c>
      <c r="H95">
        <f>MAX(IFERROR(VLOOKUP(LOWER(SUBSTITUTE(E95,"*","")),Parameters!$E$2:$F$5,2,FALSE),0),IFERROR(VLOOKUP(LOWER(SUBSTITUTE(G95,"*","")),Parameters!$E$2:$F$5,2,FALSE),0))</f>
        <v>1</v>
      </c>
      <c r="I95" t="s">
        <v>55</v>
      </c>
    </row>
    <row r="96" spans="1:9">
      <c r="A96" t="s">
        <v>176</v>
      </c>
      <c r="B96" t="s">
        <v>52</v>
      </c>
      <c r="C96">
        <v>0</v>
      </c>
      <c r="D96">
        <v>0</v>
      </c>
      <c r="E96" t="s">
        <v>53</v>
      </c>
      <c r="F96">
        <v>0</v>
      </c>
      <c r="G96" t="s">
        <v>54</v>
      </c>
      <c r="H96">
        <f>MAX(IFERROR(VLOOKUP(LOWER(SUBSTITUTE(E96,"*","")),Parameters!$E$2:$F$5,2,FALSE),0),IFERROR(VLOOKUP(LOWER(SUBSTITUTE(G96,"*","")),Parameters!$E$2:$F$5,2,FALSE),0))</f>
        <v>1</v>
      </c>
      <c r="I96" t="s">
        <v>55</v>
      </c>
    </row>
    <row r="97" spans="1:9">
      <c r="A97" t="s">
        <v>177</v>
      </c>
      <c r="B97" t="s">
        <v>52</v>
      </c>
      <c r="C97">
        <v>0</v>
      </c>
      <c r="D97">
        <v>0</v>
      </c>
      <c r="E97" t="s">
        <v>53</v>
      </c>
      <c r="F97">
        <v>0</v>
      </c>
      <c r="G97" t="s">
        <v>54</v>
      </c>
      <c r="H97">
        <f>MAX(IFERROR(VLOOKUP(LOWER(SUBSTITUTE(E97,"*","")),Parameters!$E$2:$F$5,2,FALSE),0),IFERROR(VLOOKUP(LOWER(SUBSTITUTE(G97,"*","")),Parameters!$E$2:$F$5,2,FALSE),0))</f>
        <v>1</v>
      </c>
      <c r="I97" t="s">
        <v>55</v>
      </c>
    </row>
    <row r="98" spans="1:9">
      <c r="A98" t="s">
        <v>178</v>
      </c>
      <c r="B98" t="s">
        <v>52</v>
      </c>
      <c r="C98">
        <v>0</v>
      </c>
      <c r="D98">
        <v>0</v>
      </c>
      <c r="E98" t="s">
        <v>53</v>
      </c>
      <c r="F98">
        <v>0</v>
      </c>
      <c r="G98" t="s">
        <v>54</v>
      </c>
      <c r="H98">
        <f>MAX(IFERROR(VLOOKUP(LOWER(SUBSTITUTE(E98,"*","")),Parameters!$E$2:$F$5,2,FALSE),0),IFERROR(VLOOKUP(LOWER(SUBSTITUTE(G98,"*","")),Parameters!$E$2:$F$5,2,FALSE),0))</f>
        <v>1</v>
      </c>
      <c r="I98" t="s">
        <v>55</v>
      </c>
    </row>
    <row r="99" spans="1:9">
      <c r="A99" t="s">
        <v>179</v>
      </c>
      <c r="B99" t="s">
        <v>52</v>
      </c>
      <c r="C99">
        <v>0</v>
      </c>
      <c r="D99">
        <v>0</v>
      </c>
      <c r="E99" t="s">
        <v>53</v>
      </c>
      <c r="F99">
        <v>0</v>
      </c>
      <c r="G99" t="s">
        <v>54</v>
      </c>
      <c r="H99">
        <f>MAX(IFERROR(VLOOKUP(LOWER(SUBSTITUTE(E99,"*","")),Parameters!$E$2:$F$5,2,FALSE),0),IFERROR(VLOOKUP(LOWER(SUBSTITUTE(G99,"*","")),Parameters!$E$2:$F$5,2,FALSE),0))</f>
        <v>1</v>
      </c>
      <c r="I99" t="s">
        <v>55</v>
      </c>
    </row>
    <row r="100" spans="1:9">
      <c r="A100" t="s">
        <v>180</v>
      </c>
      <c r="B100" t="s">
        <v>52</v>
      </c>
      <c r="C100">
        <v>0</v>
      </c>
      <c r="D100">
        <v>0</v>
      </c>
      <c r="E100" t="s">
        <v>53</v>
      </c>
      <c r="F100">
        <v>0</v>
      </c>
      <c r="G100" t="s">
        <v>54</v>
      </c>
      <c r="H100">
        <f>MAX(IFERROR(VLOOKUP(LOWER(SUBSTITUTE(E100,"*","")),Parameters!$E$2:$F$5,2,FALSE),0),IFERROR(VLOOKUP(LOWER(SUBSTITUTE(G100,"*","")),Parameters!$E$2:$F$5,2,FALSE),0))</f>
        <v>1</v>
      </c>
      <c r="I100" t="s">
        <v>55</v>
      </c>
    </row>
    <row r="101" spans="1:9">
      <c r="A101" t="s">
        <v>181</v>
      </c>
      <c r="B101" t="s">
        <v>52</v>
      </c>
      <c r="C101">
        <v>0</v>
      </c>
      <c r="D101">
        <v>0</v>
      </c>
      <c r="E101" t="s">
        <v>54</v>
      </c>
      <c r="F101">
        <v>0</v>
      </c>
      <c r="G101" t="s">
        <v>54</v>
      </c>
      <c r="H101">
        <f>MAX(IFERROR(VLOOKUP(LOWER(SUBSTITUTE(E101,"*","")),Parameters!$E$2:$F$5,2,FALSE),0),IFERROR(VLOOKUP(LOWER(SUBSTITUTE(G101,"*","")),Parameters!$E$2:$F$5,2,FALSE),0))</f>
        <v>1</v>
      </c>
      <c r="I101" t="s">
        <v>55</v>
      </c>
    </row>
    <row r="102" spans="1:9">
      <c r="A102" t="s">
        <v>182</v>
      </c>
      <c r="B102" t="s">
        <v>52</v>
      </c>
      <c r="C102">
        <v>0</v>
      </c>
      <c r="D102">
        <v>0</v>
      </c>
      <c r="E102" t="s">
        <v>53</v>
      </c>
      <c r="F102">
        <v>0</v>
      </c>
      <c r="G102" t="s">
        <v>54</v>
      </c>
      <c r="H102">
        <f>MAX(IFERROR(VLOOKUP(LOWER(SUBSTITUTE(E102,"*","")),Parameters!$E$2:$F$5,2,FALSE),0),IFERROR(VLOOKUP(LOWER(SUBSTITUTE(G102,"*","")),Parameters!$E$2:$F$5,2,FALSE),0))</f>
        <v>1</v>
      </c>
      <c r="I102" t="s">
        <v>55</v>
      </c>
    </row>
    <row r="103" spans="1:9">
      <c r="A103" t="s">
        <v>183</v>
      </c>
      <c r="B103" t="s">
        <v>52</v>
      </c>
      <c r="C103">
        <v>0</v>
      </c>
      <c r="D103">
        <v>0</v>
      </c>
      <c r="E103" t="s">
        <v>53</v>
      </c>
      <c r="F103">
        <v>0</v>
      </c>
      <c r="G103" t="s">
        <v>54</v>
      </c>
      <c r="H103">
        <f>MAX(IFERROR(VLOOKUP(LOWER(SUBSTITUTE(E103,"*","")),Parameters!$E$2:$F$5,2,FALSE),0),IFERROR(VLOOKUP(LOWER(SUBSTITUTE(G103,"*","")),Parameters!$E$2:$F$5,2,FALSE),0))</f>
        <v>1</v>
      </c>
      <c r="I103" t="s">
        <v>55</v>
      </c>
    </row>
    <row r="104" spans="1:9">
      <c r="A104" t="s">
        <v>184</v>
      </c>
      <c r="B104" t="s">
        <v>185</v>
      </c>
      <c r="C104">
        <v>0</v>
      </c>
      <c r="D104">
        <v>1</v>
      </c>
      <c r="E104" t="s">
        <v>83</v>
      </c>
      <c r="F104">
        <v>0</v>
      </c>
      <c r="G104" t="s">
        <v>54</v>
      </c>
      <c r="H104">
        <f>MAX(IFERROR(VLOOKUP(LOWER(SUBSTITUTE(E104,"*","")),Parameters!$E$2:$F$5,2,FALSE),0),IFERROR(VLOOKUP(LOWER(SUBSTITUTE(G104,"*","")),Parameters!$E$2:$F$5,2,FALSE),0))</f>
        <v>2</v>
      </c>
      <c r="I104" t="s">
        <v>63</v>
      </c>
    </row>
    <row r="105" spans="1:9">
      <c r="A105" t="s">
        <v>186</v>
      </c>
      <c r="B105" t="s">
        <v>52</v>
      </c>
      <c r="C105">
        <v>0</v>
      </c>
      <c r="D105">
        <v>0</v>
      </c>
      <c r="E105" t="s">
        <v>53</v>
      </c>
      <c r="F105">
        <v>0</v>
      </c>
      <c r="G105" t="s">
        <v>53</v>
      </c>
      <c r="H105">
        <f>MAX(IFERROR(VLOOKUP(LOWER(SUBSTITUTE(E105,"*","")),Parameters!$E$2:$F$5,2,FALSE),0),IFERROR(VLOOKUP(LOWER(SUBSTITUTE(G105,"*","")),Parameters!$E$2:$F$5,2,FALSE),0))</f>
        <v>0</v>
      </c>
      <c r="I105" t="s">
        <v>55</v>
      </c>
    </row>
    <row r="106" spans="1:9">
      <c r="A106" t="s">
        <v>187</v>
      </c>
      <c r="B106" t="s">
        <v>52</v>
      </c>
      <c r="C106">
        <v>0</v>
      </c>
      <c r="D106">
        <v>0</v>
      </c>
      <c r="E106" t="s">
        <v>53</v>
      </c>
      <c r="F106">
        <v>0</v>
      </c>
      <c r="G106" t="s">
        <v>53</v>
      </c>
      <c r="H106">
        <f>MAX(IFERROR(VLOOKUP(LOWER(SUBSTITUTE(E106,"*","")),Parameters!$E$2:$F$5,2,FALSE),0),IFERROR(VLOOKUP(LOWER(SUBSTITUTE(G106,"*","")),Parameters!$E$2:$F$5,2,FALSE),0))</f>
        <v>0</v>
      </c>
      <c r="I106" t="s">
        <v>55</v>
      </c>
    </row>
    <row r="107" spans="1:9">
      <c r="A107" t="s">
        <v>188</v>
      </c>
      <c r="B107" t="s">
        <v>52</v>
      </c>
      <c r="C107">
        <v>0</v>
      </c>
      <c r="D107">
        <v>0</v>
      </c>
      <c r="E107" t="s">
        <v>53</v>
      </c>
      <c r="F107">
        <v>0</v>
      </c>
      <c r="G107" t="s">
        <v>53</v>
      </c>
      <c r="H107">
        <f>MAX(IFERROR(VLOOKUP(LOWER(SUBSTITUTE(E107,"*","")),Parameters!$E$2:$F$5,2,FALSE),0),IFERROR(VLOOKUP(LOWER(SUBSTITUTE(G107,"*","")),Parameters!$E$2:$F$5,2,FALSE),0))</f>
        <v>0</v>
      </c>
      <c r="I107" t="s">
        <v>55</v>
      </c>
    </row>
    <row r="108" spans="1:9">
      <c r="A108" t="s">
        <v>189</v>
      </c>
      <c r="B108" t="s">
        <v>85</v>
      </c>
      <c r="C108">
        <v>1</v>
      </c>
      <c r="D108">
        <v>0</v>
      </c>
      <c r="E108" t="s">
        <v>54</v>
      </c>
      <c r="F108">
        <v>1</v>
      </c>
      <c r="G108" t="s">
        <v>86</v>
      </c>
      <c r="H108">
        <f>MAX(IFERROR(VLOOKUP(LOWER(SUBSTITUTE(E108,"*","")),Parameters!$E$2:$F$5,2,FALSE),0),IFERROR(VLOOKUP(LOWER(SUBSTITUTE(G108,"*","")),Parameters!$E$2:$F$5,2,FALSE),0))</f>
        <v>3</v>
      </c>
      <c r="I108" t="s">
        <v>63</v>
      </c>
    </row>
    <row r="109" spans="1:9">
      <c r="A109" t="s">
        <v>190</v>
      </c>
      <c r="B109" t="s">
        <v>52</v>
      </c>
      <c r="C109">
        <v>0</v>
      </c>
      <c r="D109">
        <v>0</v>
      </c>
      <c r="E109" t="s">
        <v>53</v>
      </c>
      <c r="F109">
        <v>0</v>
      </c>
      <c r="G109" t="s">
        <v>53</v>
      </c>
      <c r="H109">
        <f>MAX(IFERROR(VLOOKUP(LOWER(SUBSTITUTE(E109,"*","")),Parameters!$E$2:$F$5,2,FALSE),0),IFERROR(VLOOKUP(LOWER(SUBSTITUTE(G109,"*","")),Parameters!$E$2:$F$5,2,FALSE),0))</f>
        <v>0</v>
      </c>
      <c r="I109" t="s">
        <v>55</v>
      </c>
    </row>
    <row r="110" spans="1:9">
      <c r="A110" t="s">
        <v>191</v>
      </c>
      <c r="B110" t="s">
        <v>52</v>
      </c>
      <c r="C110">
        <v>0</v>
      </c>
      <c r="D110">
        <v>0</v>
      </c>
      <c r="E110" t="s">
        <v>54</v>
      </c>
      <c r="F110">
        <v>0</v>
      </c>
      <c r="G110" t="s">
        <v>54</v>
      </c>
      <c r="H110">
        <f>MAX(IFERROR(VLOOKUP(LOWER(SUBSTITUTE(E110,"*","")),Parameters!$E$2:$F$5,2,FALSE),0),IFERROR(VLOOKUP(LOWER(SUBSTITUTE(G110,"*","")),Parameters!$E$2:$F$5,2,FALSE),0))</f>
        <v>1</v>
      </c>
      <c r="I110" t="s">
        <v>55</v>
      </c>
    </row>
    <row r="111" spans="1:9">
      <c r="A111" t="s">
        <v>192</v>
      </c>
      <c r="B111" t="s">
        <v>52</v>
      </c>
      <c r="C111">
        <v>0</v>
      </c>
      <c r="D111">
        <v>0</v>
      </c>
      <c r="E111" t="s">
        <v>53</v>
      </c>
      <c r="F111">
        <v>0</v>
      </c>
      <c r="G111" t="s">
        <v>54</v>
      </c>
      <c r="H111">
        <f>MAX(IFERROR(VLOOKUP(LOWER(SUBSTITUTE(E111,"*","")),Parameters!$E$2:$F$5,2,FALSE),0),IFERROR(VLOOKUP(LOWER(SUBSTITUTE(G111,"*","")),Parameters!$E$2:$F$5,2,FALSE),0))</f>
        <v>1</v>
      </c>
      <c r="I111" t="s">
        <v>55</v>
      </c>
    </row>
    <row r="112" spans="1:9">
      <c r="A112" t="s">
        <v>193</v>
      </c>
      <c r="B112" t="s">
        <v>146</v>
      </c>
      <c r="C112">
        <v>1</v>
      </c>
      <c r="D112">
        <v>1</v>
      </c>
      <c r="E112" t="s">
        <v>86</v>
      </c>
      <c r="F112">
        <v>1</v>
      </c>
      <c r="G112" t="s">
        <v>83</v>
      </c>
      <c r="H112">
        <f>MAX(IFERROR(VLOOKUP(LOWER(SUBSTITUTE(E112,"*","")),Parameters!$E$2:$F$5,2,FALSE),0),IFERROR(VLOOKUP(LOWER(SUBSTITUTE(G112,"*","")),Parameters!$E$2:$F$5,2,FALSE),0))</f>
        <v>3</v>
      </c>
      <c r="I112" t="s">
        <v>63</v>
      </c>
    </row>
    <row r="113" spans="1:9">
      <c r="A113" t="s">
        <v>194</v>
      </c>
      <c r="B113" t="s">
        <v>106</v>
      </c>
      <c r="C113">
        <v>1</v>
      </c>
      <c r="D113">
        <v>1</v>
      </c>
      <c r="E113" t="s">
        <v>86</v>
      </c>
      <c r="F113">
        <v>1</v>
      </c>
      <c r="G113" t="s">
        <v>83</v>
      </c>
      <c r="H113">
        <f>MAX(IFERROR(VLOOKUP(LOWER(SUBSTITUTE(E113,"*","")),Parameters!$E$2:$F$5,2,FALSE),0),IFERROR(VLOOKUP(LOWER(SUBSTITUTE(G113,"*","")),Parameters!$E$2:$F$5,2,FALSE),0))</f>
        <v>3</v>
      </c>
      <c r="I113" t="s">
        <v>63</v>
      </c>
    </row>
    <row r="114" spans="1:9">
      <c r="A114" t="s">
        <v>195</v>
      </c>
      <c r="B114" t="s">
        <v>52</v>
      </c>
      <c r="C114">
        <v>0</v>
      </c>
      <c r="D114">
        <v>0</v>
      </c>
      <c r="E114" t="s">
        <v>54</v>
      </c>
      <c r="F114">
        <v>0</v>
      </c>
      <c r="G114" t="s">
        <v>53</v>
      </c>
      <c r="H114">
        <f>MAX(IFERROR(VLOOKUP(LOWER(SUBSTITUTE(E114,"*","")),Parameters!$E$2:$F$5,2,FALSE),0),IFERROR(VLOOKUP(LOWER(SUBSTITUTE(G114,"*","")),Parameters!$E$2:$F$5,2,FALSE),0))</f>
        <v>1</v>
      </c>
      <c r="I114" t="s">
        <v>55</v>
      </c>
    </row>
    <row r="115" spans="1:9">
      <c r="A115" t="s">
        <v>196</v>
      </c>
      <c r="B115" t="s">
        <v>52</v>
      </c>
      <c r="C115">
        <v>1</v>
      </c>
      <c r="D115">
        <v>0</v>
      </c>
      <c r="E115" t="s">
        <v>53</v>
      </c>
      <c r="F115">
        <v>0</v>
      </c>
      <c r="G115" t="s">
        <v>54</v>
      </c>
      <c r="H115">
        <f>MAX(IFERROR(VLOOKUP(LOWER(SUBSTITUTE(E115,"*","")),Parameters!$E$2:$F$5,2,FALSE),0),IFERROR(VLOOKUP(LOWER(SUBSTITUTE(G115,"*","")),Parameters!$E$2:$F$5,2,FALSE),0))</f>
        <v>1</v>
      </c>
      <c r="I115" t="s">
        <v>55</v>
      </c>
    </row>
    <row r="116" spans="1:9">
      <c r="A116" t="s">
        <v>197</v>
      </c>
      <c r="B116" t="s">
        <v>52</v>
      </c>
      <c r="C116">
        <v>0</v>
      </c>
      <c r="D116">
        <v>0</v>
      </c>
      <c r="E116" t="s">
        <v>53</v>
      </c>
      <c r="F116">
        <v>0</v>
      </c>
      <c r="G116" t="s">
        <v>53</v>
      </c>
      <c r="H116">
        <f>MAX(IFERROR(VLOOKUP(LOWER(SUBSTITUTE(E116,"*","")),Parameters!$E$2:$F$5,2,FALSE),0),IFERROR(VLOOKUP(LOWER(SUBSTITUTE(G116,"*","")),Parameters!$E$2:$F$5,2,FALSE),0))</f>
        <v>0</v>
      </c>
      <c r="I116" t="s">
        <v>55</v>
      </c>
    </row>
    <row r="117" spans="1:9">
      <c r="A117" t="s">
        <v>198</v>
      </c>
      <c r="B117" t="s">
        <v>52</v>
      </c>
      <c r="C117">
        <v>0</v>
      </c>
      <c r="D117">
        <v>0</v>
      </c>
      <c r="E117" t="s">
        <v>53</v>
      </c>
      <c r="F117">
        <v>0</v>
      </c>
      <c r="G117" t="s">
        <v>54</v>
      </c>
      <c r="H117">
        <f>MAX(IFERROR(VLOOKUP(LOWER(SUBSTITUTE(E117,"*","")),Parameters!$E$2:$F$5,2,FALSE),0),IFERROR(VLOOKUP(LOWER(SUBSTITUTE(G117,"*","")),Parameters!$E$2:$F$5,2,FALSE),0))</f>
        <v>1</v>
      </c>
      <c r="I117" t="s">
        <v>55</v>
      </c>
    </row>
    <row r="118" spans="1:9">
      <c r="A118" t="s">
        <v>199</v>
      </c>
      <c r="B118" t="s">
        <v>52</v>
      </c>
      <c r="C118">
        <v>0</v>
      </c>
      <c r="D118">
        <v>0</v>
      </c>
      <c r="E118" t="s">
        <v>53</v>
      </c>
      <c r="F118">
        <v>0</v>
      </c>
      <c r="G118" t="s">
        <v>54</v>
      </c>
      <c r="H118">
        <f>MAX(IFERROR(VLOOKUP(LOWER(SUBSTITUTE(E118,"*","")),Parameters!$E$2:$F$5,2,FALSE),0),IFERROR(VLOOKUP(LOWER(SUBSTITUTE(G118,"*","")),Parameters!$E$2:$F$5,2,FALSE),0))</f>
        <v>1</v>
      </c>
      <c r="I118" t="s">
        <v>55</v>
      </c>
    </row>
    <row r="119" spans="1:9">
      <c r="A119" t="s">
        <v>200</v>
      </c>
      <c r="B119" t="s">
        <v>201</v>
      </c>
      <c r="C119">
        <v>0</v>
      </c>
      <c r="D119">
        <v>0</v>
      </c>
      <c r="E119" t="s">
        <v>54</v>
      </c>
      <c r="F119">
        <v>1</v>
      </c>
      <c r="G119" t="s">
        <v>83</v>
      </c>
      <c r="H119">
        <f>MAX(IFERROR(VLOOKUP(LOWER(SUBSTITUTE(E119,"*","")),Parameters!$E$2:$F$5,2,FALSE),0),IFERROR(VLOOKUP(LOWER(SUBSTITUTE(G119,"*","")),Parameters!$E$2:$F$5,2,FALSE),0))</f>
        <v>2</v>
      </c>
      <c r="I119" t="s">
        <v>63</v>
      </c>
    </row>
    <row r="120" spans="1:9">
      <c r="A120" t="s">
        <v>202</v>
      </c>
      <c r="B120" t="s">
        <v>52</v>
      </c>
      <c r="C120">
        <v>0</v>
      </c>
      <c r="D120">
        <v>0</v>
      </c>
      <c r="E120" t="s">
        <v>53</v>
      </c>
      <c r="F120">
        <v>0</v>
      </c>
      <c r="G120" t="s">
        <v>53</v>
      </c>
      <c r="H120">
        <f>MAX(IFERROR(VLOOKUP(LOWER(SUBSTITUTE(E120,"*","")),Parameters!$E$2:$F$5,2,FALSE),0),IFERROR(VLOOKUP(LOWER(SUBSTITUTE(G120,"*","")),Parameters!$E$2:$F$5,2,FALSE),0))</f>
        <v>0</v>
      </c>
      <c r="I120" t="s">
        <v>55</v>
      </c>
    </row>
    <row r="121" spans="1:9">
      <c r="A121" t="s">
        <v>203</v>
      </c>
      <c r="B121" t="s">
        <v>146</v>
      </c>
      <c r="C121">
        <v>1</v>
      </c>
      <c r="D121">
        <v>1</v>
      </c>
      <c r="E121" t="s">
        <v>86</v>
      </c>
      <c r="F121">
        <v>1</v>
      </c>
      <c r="G121" t="s">
        <v>83</v>
      </c>
      <c r="H121">
        <f>MAX(IFERROR(VLOOKUP(LOWER(SUBSTITUTE(E121,"*","")),Parameters!$E$2:$F$5,2,FALSE),0),IFERROR(VLOOKUP(LOWER(SUBSTITUTE(G121,"*","")),Parameters!$E$2:$F$5,2,FALSE),0))</f>
        <v>3</v>
      </c>
      <c r="I121" t="s">
        <v>63</v>
      </c>
    </row>
    <row r="122" spans="1:9">
      <c r="A122" t="s">
        <v>204</v>
      </c>
      <c r="B122" t="s">
        <v>205</v>
      </c>
      <c r="C122">
        <v>1</v>
      </c>
      <c r="D122">
        <v>0</v>
      </c>
      <c r="E122" t="s">
        <v>54</v>
      </c>
      <c r="F122">
        <v>1</v>
      </c>
      <c r="G122" t="s">
        <v>83</v>
      </c>
      <c r="H122">
        <f>MAX(IFERROR(VLOOKUP(LOWER(SUBSTITUTE(E122,"*","")),Parameters!$E$2:$F$5,2,FALSE),0),IFERROR(VLOOKUP(LOWER(SUBSTITUTE(G122,"*","")),Parameters!$E$2:$F$5,2,FALSE),0))</f>
        <v>2</v>
      </c>
      <c r="I122" t="s">
        <v>63</v>
      </c>
    </row>
    <row r="123" spans="1:9">
      <c r="A123" t="s">
        <v>206</v>
      </c>
      <c r="B123" t="s">
        <v>52</v>
      </c>
      <c r="C123">
        <v>0</v>
      </c>
      <c r="D123">
        <v>0</v>
      </c>
      <c r="E123" t="s">
        <v>54</v>
      </c>
      <c r="F123">
        <v>0</v>
      </c>
      <c r="G123" t="s">
        <v>53</v>
      </c>
      <c r="H123">
        <f>MAX(IFERROR(VLOOKUP(LOWER(SUBSTITUTE(E123,"*","")),Parameters!$E$2:$F$5,2,FALSE),0),IFERROR(VLOOKUP(LOWER(SUBSTITUTE(G123,"*","")),Parameters!$E$2:$F$5,2,FALSE),0))</f>
        <v>1</v>
      </c>
      <c r="I123" t="s">
        <v>55</v>
      </c>
    </row>
    <row r="124" spans="1:9">
      <c r="A124" t="s">
        <v>207</v>
      </c>
      <c r="B124" t="s">
        <v>52</v>
      </c>
      <c r="C124">
        <v>1</v>
      </c>
      <c r="D124">
        <v>0</v>
      </c>
      <c r="E124" t="s">
        <v>53</v>
      </c>
      <c r="F124">
        <v>1</v>
      </c>
      <c r="G124" t="s">
        <v>86</v>
      </c>
      <c r="H124">
        <f>MAX(IFERROR(VLOOKUP(LOWER(SUBSTITUTE(E124,"*","")),Parameters!$E$2:$F$5,2,FALSE),0),IFERROR(VLOOKUP(LOWER(SUBSTITUTE(G124,"*","")),Parameters!$E$2:$F$5,2,FALSE),0))</f>
        <v>3</v>
      </c>
      <c r="I124" t="s">
        <v>55</v>
      </c>
    </row>
    <row r="125" spans="1:9">
      <c r="A125" t="s">
        <v>208</v>
      </c>
      <c r="B125" t="s">
        <v>92</v>
      </c>
      <c r="C125">
        <v>1</v>
      </c>
      <c r="D125">
        <v>1</v>
      </c>
      <c r="E125" t="s">
        <v>86</v>
      </c>
      <c r="F125">
        <v>1</v>
      </c>
      <c r="G125" t="s">
        <v>86</v>
      </c>
      <c r="H125">
        <f>MAX(IFERROR(VLOOKUP(LOWER(SUBSTITUTE(E125,"*","")),Parameters!$E$2:$F$5,2,FALSE),0),IFERROR(VLOOKUP(LOWER(SUBSTITUTE(G125,"*","")),Parameters!$E$2:$F$5,2,FALSE),0))</f>
        <v>3</v>
      </c>
      <c r="I125" t="s">
        <v>63</v>
      </c>
    </row>
    <row r="126" spans="1:9">
      <c r="A126" t="s">
        <v>209</v>
      </c>
      <c r="B126" t="s">
        <v>85</v>
      </c>
      <c r="C126">
        <v>1</v>
      </c>
      <c r="D126">
        <v>0</v>
      </c>
      <c r="E126" t="s">
        <v>54</v>
      </c>
      <c r="F126">
        <v>1</v>
      </c>
      <c r="G126" t="s">
        <v>86</v>
      </c>
      <c r="H126">
        <f>MAX(IFERROR(VLOOKUP(LOWER(SUBSTITUTE(E126,"*","")),Parameters!$E$2:$F$5,2,FALSE),0),IFERROR(VLOOKUP(LOWER(SUBSTITUTE(G126,"*","")),Parameters!$E$2:$F$5,2,FALSE),0))</f>
        <v>3</v>
      </c>
      <c r="I126" t="s">
        <v>63</v>
      </c>
    </row>
    <row r="127" spans="1:9">
      <c r="A127" t="s">
        <v>210</v>
      </c>
      <c r="B127" t="s">
        <v>52</v>
      </c>
      <c r="C127">
        <v>0</v>
      </c>
      <c r="D127">
        <v>0</v>
      </c>
      <c r="E127" t="s">
        <v>53</v>
      </c>
      <c r="F127">
        <v>0</v>
      </c>
      <c r="G127" t="s">
        <v>54</v>
      </c>
      <c r="H127">
        <f>MAX(IFERROR(VLOOKUP(LOWER(SUBSTITUTE(E127,"*","")),Parameters!$E$2:$F$5,2,FALSE),0),IFERROR(VLOOKUP(LOWER(SUBSTITUTE(G127,"*","")),Parameters!$E$2:$F$5,2,FALSE),0))</f>
        <v>1</v>
      </c>
      <c r="I127" t="s">
        <v>55</v>
      </c>
    </row>
    <row r="128" spans="1:9">
      <c r="A128" t="s">
        <v>211</v>
      </c>
      <c r="B128" t="s">
        <v>52</v>
      </c>
      <c r="C128">
        <v>0</v>
      </c>
      <c r="D128">
        <v>0</v>
      </c>
      <c r="E128" t="s">
        <v>53</v>
      </c>
      <c r="F128">
        <v>0</v>
      </c>
      <c r="G128" t="s">
        <v>53</v>
      </c>
      <c r="H128">
        <f>MAX(IFERROR(VLOOKUP(LOWER(SUBSTITUTE(E128,"*","")),Parameters!$E$2:$F$5,2,FALSE),0),IFERROR(VLOOKUP(LOWER(SUBSTITUTE(G128,"*","")),Parameters!$E$2:$F$5,2,FALSE),0))</f>
        <v>0</v>
      </c>
      <c r="I128" t="s">
        <v>55</v>
      </c>
    </row>
    <row r="129" spans="1:9">
      <c r="A129" t="s">
        <v>212</v>
      </c>
      <c r="B129" t="s">
        <v>52</v>
      </c>
      <c r="C129">
        <v>1</v>
      </c>
      <c r="D129">
        <v>0</v>
      </c>
      <c r="E129" t="s">
        <v>54</v>
      </c>
      <c r="F129">
        <v>1</v>
      </c>
      <c r="G129" t="s">
        <v>86</v>
      </c>
      <c r="H129">
        <f>MAX(IFERROR(VLOOKUP(LOWER(SUBSTITUTE(E129,"*","")),Parameters!$E$2:$F$5,2,FALSE),0),IFERROR(VLOOKUP(LOWER(SUBSTITUTE(G129,"*","")),Parameters!$E$2:$F$5,2,FALSE),0))</f>
        <v>3</v>
      </c>
      <c r="I129" t="s">
        <v>55</v>
      </c>
    </row>
    <row r="130" spans="1:9">
      <c r="A130" t="s">
        <v>213</v>
      </c>
      <c r="B130" t="s">
        <v>52</v>
      </c>
      <c r="C130">
        <v>0</v>
      </c>
      <c r="D130">
        <v>0</v>
      </c>
      <c r="E130" t="s">
        <v>53</v>
      </c>
      <c r="F130">
        <v>0</v>
      </c>
      <c r="G130" t="s">
        <v>53</v>
      </c>
      <c r="H130">
        <f>MAX(IFERROR(VLOOKUP(LOWER(SUBSTITUTE(E130,"*","")),Parameters!$E$2:$F$5,2,FALSE),0),IFERROR(VLOOKUP(LOWER(SUBSTITUTE(G130,"*","")),Parameters!$E$2:$F$5,2,FALSE),0))</f>
        <v>0</v>
      </c>
      <c r="I130" t="s">
        <v>55</v>
      </c>
    </row>
    <row r="131" spans="1:9">
      <c r="A131" t="s">
        <v>214</v>
      </c>
      <c r="B131" t="s">
        <v>106</v>
      </c>
      <c r="C131">
        <v>1</v>
      </c>
      <c r="D131">
        <v>1</v>
      </c>
      <c r="E131" t="s">
        <v>86</v>
      </c>
      <c r="F131">
        <v>1</v>
      </c>
      <c r="G131" t="s">
        <v>83</v>
      </c>
      <c r="H131">
        <f>MAX(IFERROR(VLOOKUP(LOWER(SUBSTITUTE(E131,"*","")),Parameters!$E$2:$F$5,2,FALSE),0),IFERROR(VLOOKUP(LOWER(SUBSTITUTE(G131,"*","")),Parameters!$E$2:$F$5,2,FALSE),0))</f>
        <v>3</v>
      </c>
      <c r="I131" t="s">
        <v>63</v>
      </c>
    </row>
    <row r="132" spans="1:9">
      <c r="A132" t="s">
        <v>215</v>
      </c>
      <c r="B132" t="s">
        <v>52</v>
      </c>
      <c r="C132">
        <v>0</v>
      </c>
      <c r="D132">
        <v>0</v>
      </c>
      <c r="E132" t="s">
        <v>53</v>
      </c>
      <c r="F132">
        <v>0</v>
      </c>
      <c r="G132" t="s">
        <v>54</v>
      </c>
      <c r="H132">
        <f>MAX(IFERROR(VLOOKUP(LOWER(SUBSTITUTE(E132,"*","")),Parameters!$E$2:$F$5,2,FALSE),0),IFERROR(VLOOKUP(LOWER(SUBSTITUTE(G132,"*","")),Parameters!$E$2:$F$5,2,FALSE),0))</f>
        <v>1</v>
      </c>
      <c r="I132" t="s">
        <v>55</v>
      </c>
    </row>
    <row r="133" spans="1:9">
      <c r="A133" t="s">
        <v>216</v>
      </c>
      <c r="B133" t="s">
        <v>52</v>
      </c>
      <c r="C133">
        <v>0</v>
      </c>
      <c r="D133">
        <v>0</v>
      </c>
      <c r="E133" t="s">
        <v>54</v>
      </c>
      <c r="F133">
        <v>1</v>
      </c>
      <c r="G133" t="s">
        <v>83</v>
      </c>
      <c r="H133">
        <f>MAX(IFERROR(VLOOKUP(LOWER(SUBSTITUTE(E133,"*","")),Parameters!$E$2:$F$5,2,FALSE),0),IFERROR(VLOOKUP(LOWER(SUBSTITUTE(G133,"*","")),Parameters!$E$2:$F$5,2,FALSE),0))</f>
        <v>2</v>
      </c>
      <c r="I133" t="s">
        <v>55</v>
      </c>
    </row>
    <row r="134" spans="1:9">
      <c r="A134" t="s">
        <v>217</v>
      </c>
      <c r="B134" t="s">
        <v>52</v>
      </c>
      <c r="C134">
        <v>0</v>
      </c>
      <c r="D134">
        <v>0</v>
      </c>
      <c r="E134" t="s">
        <v>54</v>
      </c>
      <c r="F134">
        <v>0</v>
      </c>
      <c r="G134" t="s">
        <v>53</v>
      </c>
      <c r="H134">
        <f>MAX(IFERROR(VLOOKUP(LOWER(SUBSTITUTE(E134,"*","")),Parameters!$E$2:$F$5,2,FALSE),0),IFERROR(VLOOKUP(LOWER(SUBSTITUTE(G134,"*","")),Parameters!$E$2:$F$5,2,FALSE),0))</f>
        <v>1</v>
      </c>
      <c r="I134" t="s">
        <v>55</v>
      </c>
    </row>
    <row r="135" spans="1:9">
      <c r="A135" t="s">
        <v>218</v>
      </c>
      <c r="B135" t="s">
        <v>52</v>
      </c>
      <c r="C135">
        <v>0</v>
      </c>
      <c r="D135">
        <v>0</v>
      </c>
      <c r="E135" t="s">
        <v>53</v>
      </c>
      <c r="F135">
        <v>0</v>
      </c>
      <c r="G135" t="s">
        <v>53</v>
      </c>
      <c r="H135">
        <f>MAX(IFERROR(VLOOKUP(LOWER(SUBSTITUTE(E135,"*","")),Parameters!$E$2:$F$5,2,FALSE),0),IFERROR(VLOOKUP(LOWER(SUBSTITUTE(G135,"*","")),Parameters!$E$2:$F$5,2,FALSE),0))</f>
        <v>0</v>
      </c>
      <c r="I135" t="s">
        <v>55</v>
      </c>
    </row>
    <row r="136" spans="1:9">
      <c r="A136" t="s">
        <v>219</v>
      </c>
      <c r="B136" t="s">
        <v>52</v>
      </c>
      <c r="C136">
        <v>0</v>
      </c>
      <c r="D136">
        <v>0</v>
      </c>
      <c r="E136" t="s">
        <v>53</v>
      </c>
      <c r="F136">
        <v>0</v>
      </c>
      <c r="G136" t="s">
        <v>53</v>
      </c>
      <c r="H136">
        <f>MAX(IFERROR(VLOOKUP(LOWER(SUBSTITUTE(E136,"*","")),Parameters!$E$2:$F$5,2,FALSE),0),IFERROR(VLOOKUP(LOWER(SUBSTITUTE(G136,"*","")),Parameters!$E$2:$F$5,2,FALSE),0))</f>
        <v>0</v>
      </c>
      <c r="I136" t="s">
        <v>55</v>
      </c>
    </row>
    <row r="137" spans="1:9">
      <c r="A137" t="s">
        <v>220</v>
      </c>
      <c r="B137" t="s">
        <v>52</v>
      </c>
      <c r="C137">
        <v>0</v>
      </c>
      <c r="D137">
        <v>0</v>
      </c>
      <c r="E137" t="s">
        <v>53</v>
      </c>
      <c r="F137">
        <v>0</v>
      </c>
      <c r="G137" t="s">
        <v>54</v>
      </c>
      <c r="H137">
        <f>MAX(IFERROR(VLOOKUP(LOWER(SUBSTITUTE(E137,"*","")),Parameters!$E$2:$F$5,2,FALSE),0),IFERROR(VLOOKUP(LOWER(SUBSTITUTE(G137,"*","")),Parameters!$E$2:$F$5,2,FALSE),0))</f>
        <v>1</v>
      </c>
      <c r="I137" t="s">
        <v>55</v>
      </c>
    </row>
    <row r="138" spans="1:9">
      <c r="A138" t="s">
        <v>221</v>
      </c>
      <c r="B138" t="s">
        <v>52</v>
      </c>
      <c r="C138">
        <v>0</v>
      </c>
      <c r="D138">
        <v>0</v>
      </c>
      <c r="E138" t="s">
        <v>53</v>
      </c>
      <c r="F138">
        <v>0</v>
      </c>
      <c r="G138" t="s">
        <v>53</v>
      </c>
      <c r="H138">
        <f>MAX(IFERROR(VLOOKUP(LOWER(SUBSTITUTE(E138,"*","")),Parameters!$E$2:$F$5,2,FALSE),0),IFERROR(VLOOKUP(LOWER(SUBSTITUTE(G138,"*","")),Parameters!$E$2:$F$5,2,FALSE),0))</f>
        <v>0</v>
      </c>
      <c r="I138" t="s">
        <v>55</v>
      </c>
    </row>
    <row r="139" spans="1:9">
      <c r="A139" t="s">
        <v>222</v>
      </c>
      <c r="B139" t="s">
        <v>170</v>
      </c>
      <c r="C139">
        <v>1</v>
      </c>
      <c r="D139">
        <v>1</v>
      </c>
      <c r="E139" t="s">
        <v>83</v>
      </c>
      <c r="F139">
        <v>1</v>
      </c>
      <c r="G139" t="s">
        <v>83</v>
      </c>
      <c r="H139">
        <f>MAX(IFERROR(VLOOKUP(LOWER(SUBSTITUTE(E139,"*","")),Parameters!$E$2:$F$5,2,FALSE),0),IFERROR(VLOOKUP(LOWER(SUBSTITUTE(G139,"*","")),Parameters!$E$2:$F$5,2,FALSE),0))</f>
        <v>2</v>
      </c>
      <c r="I139" t="s">
        <v>63</v>
      </c>
    </row>
    <row r="140" spans="1:9">
      <c r="A140" t="s">
        <v>223</v>
      </c>
      <c r="B140" t="s">
        <v>52</v>
      </c>
      <c r="C140">
        <v>0</v>
      </c>
      <c r="D140">
        <v>0</v>
      </c>
      <c r="E140" t="s">
        <v>53</v>
      </c>
      <c r="F140">
        <v>0</v>
      </c>
      <c r="G140" t="s">
        <v>54</v>
      </c>
      <c r="H140">
        <f>MAX(IFERROR(VLOOKUP(LOWER(SUBSTITUTE(E140,"*","")),Parameters!$E$2:$F$5,2,FALSE),0),IFERROR(VLOOKUP(LOWER(SUBSTITUTE(G140,"*","")),Parameters!$E$2:$F$5,2,FALSE),0))</f>
        <v>1</v>
      </c>
      <c r="I140" t="s">
        <v>55</v>
      </c>
    </row>
    <row r="141" spans="1:9">
      <c r="A141" t="s">
        <v>224</v>
      </c>
      <c r="B141" t="s">
        <v>52</v>
      </c>
      <c r="C141">
        <v>0</v>
      </c>
      <c r="D141">
        <v>0</v>
      </c>
      <c r="E141" t="s">
        <v>54</v>
      </c>
      <c r="F141">
        <v>0</v>
      </c>
      <c r="G141" t="s">
        <v>53</v>
      </c>
      <c r="H141">
        <f>MAX(IFERROR(VLOOKUP(LOWER(SUBSTITUTE(E141,"*","")),Parameters!$E$2:$F$5,2,FALSE),0),IFERROR(VLOOKUP(LOWER(SUBSTITUTE(G141,"*","")),Parameters!$E$2:$F$5,2,FALSE),0))</f>
        <v>1</v>
      </c>
      <c r="I141" t="s">
        <v>55</v>
      </c>
    </row>
    <row r="142" spans="1:9">
      <c r="A142" t="s">
        <v>225</v>
      </c>
      <c r="B142" t="s">
        <v>52</v>
      </c>
      <c r="C142">
        <v>0</v>
      </c>
      <c r="D142">
        <v>0</v>
      </c>
      <c r="E142" t="s">
        <v>54</v>
      </c>
      <c r="F142">
        <v>0</v>
      </c>
      <c r="G142" t="s">
        <v>53</v>
      </c>
      <c r="H142">
        <f>MAX(IFERROR(VLOOKUP(LOWER(SUBSTITUTE(E142,"*","")),Parameters!$E$2:$F$5,2,FALSE),0),IFERROR(VLOOKUP(LOWER(SUBSTITUTE(G142,"*","")),Parameters!$E$2:$F$5,2,FALSE),0))</f>
        <v>1</v>
      </c>
      <c r="I142" t="s">
        <v>55</v>
      </c>
    </row>
    <row r="143" spans="1:9">
      <c r="A143" t="s">
        <v>226</v>
      </c>
      <c r="B143" t="s">
        <v>146</v>
      </c>
      <c r="C143">
        <v>1</v>
      </c>
      <c r="D143">
        <v>1</v>
      </c>
      <c r="E143" t="s">
        <v>86</v>
      </c>
      <c r="F143">
        <v>1</v>
      </c>
      <c r="G143" t="s">
        <v>83</v>
      </c>
      <c r="H143">
        <f>MAX(IFERROR(VLOOKUP(LOWER(SUBSTITUTE(E143,"*","")),Parameters!$E$2:$F$5,2,FALSE),0),IFERROR(VLOOKUP(LOWER(SUBSTITUTE(G143,"*","")),Parameters!$E$2:$F$5,2,FALSE),0))</f>
        <v>3</v>
      </c>
      <c r="I143" t="s">
        <v>63</v>
      </c>
    </row>
    <row r="144" spans="1:9">
      <c r="A144" t="s">
        <v>227</v>
      </c>
      <c r="B144" t="s">
        <v>52</v>
      </c>
      <c r="C144">
        <v>0</v>
      </c>
      <c r="D144">
        <v>0</v>
      </c>
      <c r="E144" t="s">
        <v>53</v>
      </c>
      <c r="F144">
        <v>0</v>
      </c>
      <c r="G144" t="s">
        <v>53</v>
      </c>
      <c r="H144">
        <f>MAX(IFERROR(VLOOKUP(LOWER(SUBSTITUTE(E144,"*","")),Parameters!$E$2:$F$5,2,FALSE),0),IFERROR(VLOOKUP(LOWER(SUBSTITUTE(G144,"*","")),Parameters!$E$2:$F$5,2,FALSE),0))</f>
        <v>0</v>
      </c>
      <c r="I144" t="s">
        <v>55</v>
      </c>
    </row>
    <row r="145" spans="1:9">
      <c r="A145" t="s">
        <v>228</v>
      </c>
      <c r="B145" t="s">
        <v>52</v>
      </c>
      <c r="C145">
        <v>0</v>
      </c>
      <c r="D145">
        <v>0</v>
      </c>
      <c r="E145" t="s">
        <v>53</v>
      </c>
      <c r="F145">
        <v>0</v>
      </c>
      <c r="G145" t="s">
        <v>54</v>
      </c>
      <c r="H145">
        <f>MAX(IFERROR(VLOOKUP(LOWER(SUBSTITUTE(E145,"*","")),Parameters!$E$2:$F$5,2,FALSE),0),IFERROR(VLOOKUP(LOWER(SUBSTITUTE(G145,"*","")),Parameters!$E$2:$F$5,2,FALSE),0))</f>
        <v>1</v>
      </c>
      <c r="I145" t="s">
        <v>55</v>
      </c>
    </row>
    <row r="146" spans="1:9">
      <c r="A146" t="s">
        <v>229</v>
      </c>
      <c r="B146" t="s">
        <v>52</v>
      </c>
      <c r="C146">
        <v>0</v>
      </c>
      <c r="D146">
        <v>0</v>
      </c>
      <c r="E146" t="s">
        <v>53</v>
      </c>
      <c r="F146">
        <v>0</v>
      </c>
      <c r="G146" t="s">
        <v>54</v>
      </c>
      <c r="H146">
        <f>MAX(IFERROR(VLOOKUP(LOWER(SUBSTITUTE(E146,"*","")),Parameters!$E$2:$F$5,2,FALSE),0),IFERROR(VLOOKUP(LOWER(SUBSTITUTE(G146,"*","")),Parameters!$E$2:$F$5,2,FALSE),0))</f>
        <v>1</v>
      </c>
      <c r="I146" t="s">
        <v>55</v>
      </c>
    </row>
    <row r="147" spans="1:9">
      <c r="A147" t="s">
        <v>230</v>
      </c>
      <c r="B147" t="s">
        <v>52</v>
      </c>
      <c r="C147">
        <v>0</v>
      </c>
      <c r="D147">
        <v>0</v>
      </c>
      <c r="E147" t="s">
        <v>53</v>
      </c>
      <c r="F147">
        <v>0</v>
      </c>
      <c r="G147" t="s">
        <v>53</v>
      </c>
      <c r="H147">
        <f>MAX(IFERROR(VLOOKUP(LOWER(SUBSTITUTE(E147,"*","")),Parameters!$E$2:$F$5,2,FALSE),0),IFERROR(VLOOKUP(LOWER(SUBSTITUTE(G147,"*","")),Parameters!$E$2:$F$5,2,FALSE),0))</f>
        <v>0</v>
      </c>
      <c r="I147" t="s">
        <v>55</v>
      </c>
    </row>
    <row r="148" spans="1:9">
      <c r="A148" t="s">
        <v>231</v>
      </c>
      <c r="B148" t="s">
        <v>232</v>
      </c>
      <c r="C148">
        <v>0</v>
      </c>
      <c r="D148">
        <v>1</v>
      </c>
      <c r="E148" t="s">
        <v>86</v>
      </c>
      <c r="F148">
        <v>0</v>
      </c>
      <c r="G148" t="s">
        <v>54</v>
      </c>
      <c r="H148">
        <f>MAX(IFERROR(VLOOKUP(LOWER(SUBSTITUTE(E148,"*","")),Parameters!$E$2:$F$5,2,FALSE),0),IFERROR(VLOOKUP(LOWER(SUBSTITUTE(G148,"*","")),Parameters!$E$2:$F$5,2,FALSE),0))</f>
        <v>3</v>
      </c>
      <c r="I148" t="s">
        <v>63</v>
      </c>
    </row>
    <row r="149" spans="1:9">
      <c r="A149" t="s">
        <v>233</v>
      </c>
      <c r="B149" t="s">
        <v>52</v>
      </c>
      <c r="C149">
        <v>0</v>
      </c>
      <c r="D149">
        <v>0</v>
      </c>
      <c r="E149" t="s">
        <v>53</v>
      </c>
      <c r="F149">
        <v>0</v>
      </c>
      <c r="G149" t="s">
        <v>54</v>
      </c>
      <c r="H149">
        <f>MAX(IFERROR(VLOOKUP(LOWER(SUBSTITUTE(E149,"*","")),Parameters!$E$2:$F$5,2,FALSE),0),IFERROR(VLOOKUP(LOWER(SUBSTITUTE(G149,"*","")),Parameters!$E$2:$F$5,2,FALSE),0))</f>
        <v>1</v>
      </c>
      <c r="I149" t="s">
        <v>55</v>
      </c>
    </row>
    <row r="150" spans="1:9">
      <c r="A150" t="s">
        <v>234</v>
      </c>
      <c r="B150" t="s">
        <v>52</v>
      </c>
      <c r="C150">
        <v>0</v>
      </c>
      <c r="D150">
        <v>0</v>
      </c>
      <c r="E150" t="s">
        <v>53</v>
      </c>
      <c r="F150">
        <v>0</v>
      </c>
      <c r="G150" t="s">
        <v>54</v>
      </c>
      <c r="H150">
        <f>MAX(IFERROR(VLOOKUP(LOWER(SUBSTITUTE(E150,"*","")),Parameters!$E$2:$F$5,2,FALSE),0),IFERROR(VLOOKUP(LOWER(SUBSTITUTE(G150,"*","")),Parameters!$E$2:$F$5,2,FALSE),0))</f>
        <v>1</v>
      </c>
      <c r="I150" t="s">
        <v>55</v>
      </c>
    </row>
    <row r="151" spans="1:9">
      <c r="A151" t="s">
        <v>235</v>
      </c>
      <c r="B151" t="s">
        <v>52</v>
      </c>
      <c r="C151">
        <v>0</v>
      </c>
      <c r="D151">
        <v>0</v>
      </c>
      <c r="E151" t="s">
        <v>53</v>
      </c>
      <c r="F151">
        <v>0</v>
      </c>
      <c r="G151" t="s">
        <v>53</v>
      </c>
      <c r="H151">
        <f>MAX(IFERROR(VLOOKUP(LOWER(SUBSTITUTE(E151,"*","")),Parameters!$E$2:$F$5,2,FALSE),0),IFERROR(VLOOKUP(LOWER(SUBSTITUTE(G151,"*","")),Parameters!$E$2:$F$5,2,FALSE),0))</f>
        <v>0</v>
      </c>
      <c r="I151" t="s">
        <v>55</v>
      </c>
    </row>
    <row r="152" spans="1:9">
      <c r="A152" t="s">
        <v>236</v>
      </c>
      <c r="B152" t="s">
        <v>52</v>
      </c>
      <c r="C152">
        <v>0</v>
      </c>
      <c r="D152">
        <v>0</v>
      </c>
      <c r="E152" t="s">
        <v>53</v>
      </c>
      <c r="F152">
        <v>1</v>
      </c>
      <c r="G152" t="s">
        <v>86</v>
      </c>
      <c r="H152">
        <f>MAX(IFERROR(VLOOKUP(LOWER(SUBSTITUTE(E152,"*","")),Parameters!$E$2:$F$5,2,FALSE),0),IFERROR(VLOOKUP(LOWER(SUBSTITUTE(G152,"*","")),Parameters!$E$2:$F$5,2,FALSE),0))</f>
        <v>3</v>
      </c>
      <c r="I152" t="s">
        <v>55</v>
      </c>
    </row>
    <row r="153" spans="1:9">
      <c r="A153" t="s">
        <v>237</v>
      </c>
      <c r="B153" t="s">
        <v>92</v>
      </c>
      <c r="C153">
        <v>1</v>
      </c>
      <c r="D153">
        <v>1</v>
      </c>
      <c r="E153" t="s">
        <v>86</v>
      </c>
      <c r="F153">
        <v>1</v>
      </c>
      <c r="G153" t="s">
        <v>86</v>
      </c>
      <c r="H153">
        <f>MAX(IFERROR(VLOOKUP(LOWER(SUBSTITUTE(E153,"*","")),Parameters!$E$2:$F$5,2,FALSE),0),IFERROR(VLOOKUP(LOWER(SUBSTITUTE(G153,"*","")),Parameters!$E$2:$F$5,2,FALSE),0))</f>
        <v>3</v>
      </c>
      <c r="I153" t="s">
        <v>63</v>
      </c>
    </row>
    <row r="154" spans="1:9">
      <c r="A154" t="s">
        <v>238</v>
      </c>
      <c r="B154" t="s">
        <v>52</v>
      </c>
      <c r="C154">
        <v>0</v>
      </c>
      <c r="D154">
        <v>0</v>
      </c>
      <c r="E154" t="s">
        <v>53</v>
      </c>
      <c r="F154">
        <v>0</v>
      </c>
      <c r="G154" t="s">
        <v>54</v>
      </c>
      <c r="H154">
        <f>MAX(IFERROR(VLOOKUP(LOWER(SUBSTITUTE(E154,"*","")),Parameters!$E$2:$F$5,2,FALSE),0),IFERROR(VLOOKUP(LOWER(SUBSTITUTE(G154,"*","")),Parameters!$E$2:$F$5,2,FALSE),0))</f>
        <v>1</v>
      </c>
      <c r="I154" t="s">
        <v>55</v>
      </c>
    </row>
    <row r="155" spans="1:9">
      <c r="A155" t="s">
        <v>239</v>
      </c>
      <c r="B155" t="s">
        <v>52</v>
      </c>
      <c r="C155">
        <v>0</v>
      </c>
      <c r="D155">
        <v>0</v>
      </c>
      <c r="E155" t="s">
        <v>53</v>
      </c>
      <c r="F155">
        <v>0</v>
      </c>
      <c r="G155" t="s">
        <v>53</v>
      </c>
      <c r="H155">
        <f>MAX(IFERROR(VLOOKUP(LOWER(SUBSTITUTE(E155,"*","")),Parameters!$E$2:$F$5,2,FALSE),0),IFERROR(VLOOKUP(LOWER(SUBSTITUTE(G155,"*","")),Parameters!$E$2:$F$5,2,FALSE),0))</f>
        <v>0</v>
      </c>
      <c r="I155" t="s">
        <v>55</v>
      </c>
    </row>
    <row r="156" spans="1:9">
      <c r="A156" t="s">
        <v>240</v>
      </c>
      <c r="B156" t="s">
        <v>52</v>
      </c>
      <c r="C156">
        <v>0</v>
      </c>
      <c r="D156">
        <v>0</v>
      </c>
      <c r="E156" t="s">
        <v>53</v>
      </c>
      <c r="F156">
        <v>0</v>
      </c>
      <c r="G156" t="s">
        <v>53</v>
      </c>
      <c r="H156">
        <f>MAX(IFERROR(VLOOKUP(LOWER(SUBSTITUTE(E156,"*","")),Parameters!$E$2:$F$5,2,FALSE),0),IFERROR(VLOOKUP(LOWER(SUBSTITUTE(G156,"*","")),Parameters!$E$2:$F$5,2,FALSE),0))</f>
        <v>0</v>
      </c>
      <c r="I156" t="s">
        <v>55</v>
      </c>
    </row>
    <row r="157" spans="1:9">
      <c r="A157" t="s">
        <v>241</v>
      </c>
      <c r="B157" t="s">
        <v>242</v>
      </c>
      <c r="C157">
        <v>0</v>
      </c>
      <c r="D157">
        <v>1</v>
      </c>
      <c r="E157" t="s">
        <v>83</v>
      </c>
      <c r="F157">
        <v>1</v>
      </c>
      <c r="G157" t="s">
        <v>83</v>
      </c>
      <c r="H157">
        <f>MAX(IFERROR(VLOOKUP(LOWER(SUBSTITUTE(E157,"*","")),Parameters!$E$2:$F$5,2,FALSE),0),IFERROR(VLOOKUP(LOWER(SUBSTITUTE(G157,"*","")),Parameters!$E$2:$F$5,2,FALSE),0))</f>
        <v>2</v>
      </c>
      <c r="I157" t="s">
        <v>63</v>
      </c>
    </row>
    <row r="158" spans="1:9">
      <c r="A158" t="s">
        <v>243</v>
      </c>
      <c r="B158" t="s">
        <v>52</v>
      </c>
      <c r="C158">
        <v>0</v>
      </c>
      <c r="D158">
        <v>0</v>
      </c>
      <c r="E158" t="s">
        <v>54</v>
      </c>
      <c r="F158">
        <v>0</v>
      </c>
      <c r="G158" t="s">
        <v>53</v>
      </c>
      <c r="H158">
        <f>MAX(IFERROR(VLOOKUP(LOWER(SUBSTITUTE(E158,"*","")),Parameters!$E$2:$F$5,2,FALSE),0),IFERROR(VLOOKUP(LOWER(SUBSTITUTE(G158,"*","")),Parameters!$E$2:$F$5,2,FALSE),0))</f>
        <v>1</v>
      </c>
      <c r="I158" t="s">
        <v>55</v>
      </c>
    </row>
    <row r="159" spans="1:9">
      <c r="A159" t="s">
        <v>244</v>
      </c>
      <c r="B159" t="s">
        <v>146</v>
      </c>
      <c r="C159">
        <v>1</v>
      </c>
      <c r="D159">
        <v>1</v>
      </c>
      <c r="E159" t="s">
        <v>86</v>
      </c>
      <c r="F159">
        <v>1</v>
      </c>
      <c r="G159" t="s">
        <v>83</v>
      </c>
      <c r="H159">
        <f>MAX(IFERROR(VLOOKUP(LOWER(SUBSTITUTE(E159,"*","")),Parameters!$E$2:$F$5,2,FALSE),0),IFERROR(VLOOKUP(LOWER(SUBSTITUTE(G159,"*","")),Parameters!$E$2:$F$5,2,FALSE),0))</f>
        <v>3</v>
      </c>
      <c r="I159" t="s">
        <v>63</v>
      </c>
    </row>
    <row r="160" spans="1:9">
      <c r="A160" t="s">
        <v>245</v>
      </c>
      <c r="B160" t="s">
        <v>52</v>
      </c>
      <c r="C160">
        <v>0</v>
      </c>
      <c r="D160">
        <v>0</v>
      </c>
      <c r="E160" t="s">
        <v>53</v>
      </c>
      <c r="F160">
        <v>0</v>
      </c>
      <c r="G160" t="s">
        <v>54</v>
      </c>
      <c r="H160">
        <f>MAX(IFERROR(VLOOKUP(LOWER(SUBSTITUTE(E160,"*","")),Parameters!$E$2:$F$5,2,FALSE),0),IFERROR(VLOOKUP(LOWER(SUBSTITUTE(G160,"*","")),Parameters!$E$2:$F$5,2,FALSE),0))</f>
        <v>1</v>
      </c>
      <c r="I160" t="s">
        <v>55</v>
      </c>
    </row>
    <row r="161" spans="1:9">
      <c r="A161" t="s">
        <v>246</v>
      </c>
      <c r="B161" t="s">
        <v>52</v>
      </c>
      <c r="C161">
        <v>0</v>
      </c>
      <c r="D161">
        <v>0</v>
      </c>
      <c r="E161" t="s">
        <v>53</v>
      </c>
      <c r="F161">
        <v>0</v>
      </c>
      <c r="G161" t="s">
        <v>53</v>
      </c>
      <c r="H161">
        <f>MAX(IFERROR(VLOOKUP(LOWER(SUBSTITUTE(E161,"*","")),Parameters!$E$2:$F$5,2,FALSE),0),IFERROR(VLOOKUP(LOWER(SUBSTITUTE(G161,"*","")),Parameters!$E$2:$F$5,2,FALSE),0))</f>
        <v>0</v>
      </c>
      <c r="I161" t="s">
        <v>55</v>
      </c>
    </row>
    <row r="162" spans="1:9">
      <c r="A162" t="s">
        <v>247</v>
      </c>
      <c r="B162" t="s">
        <v>85</v>
      </c>
      <c r="C162">
        <v>1</v>
      </c>
      <c r="D162">
        <v>0</v>
      </c>
      <c r="E162" t="s">
        <v>54</v>
      </c>
      <c r="F162">
        <v>1</v>
      </c>
      <c r="G162" t="s">
        <v>86</v>
      </c>
      <c r="H162">
        <f>MAX(IFERROR(VLOOKUP(LOWER(SUBSTITUTE(E162,"*","")),Parameters!$E$2:$F$5,2,FALSE),0),IFERROR(VLOOKUP(LOWER(SUBSTITUTE(G162,"*","")),Parameters!$E$2:$F$5,2,FALSE),0))</f>
        <v>3</v>
      </c>
      <c r="I162" t="s">
        <v>63</v>
      </c>
    </row>
    <row r="163" spans="1:9">
      <c r="A163" t="s">
        <v>248</v>
      </c>
      <c r="B163" t="s">
        <v>249</v>
      </c>
      <c r="C163">
        <v>0</v>
      </c>
      <c r="D163">
        <v>0</v>
      </c>
      <c r="E163" t="s">
        <v>53</v>
      </c>
      <c r="F163">
        <v>0</v>
      </c>
      <c r="G163" t="s">
        <v>54</v>
      </c>
      <c r="H163">
        <f>MAX(IFERROR(VLOOKUP(LOWER(SUBSTITUTE(E163,"*","")),Parameters!$E$2:$F$5,2,FALSE),0),IFERROR(VLOOKUP(LOWER(SUBSTITUTE(G163,"*","")),Parameters!$E$2:$F$5,2,FALSE),0))</f>
        <v>1</v>
      </c>
      <c r="I163" t="s">
        <v>63</v>
      </c>
    </row>
    <row r="164" spans="1:9">
      <c r="A164" t="s">
        <v>250</v>
      </c>
      <c r="B164" t="s">
        <v>205</v>
      </c>
      <c r="C164">
        <v>1</v>
      </c>
      <c r="D164">
        <v>1</v>
      </c>
      <c r="E164" t="s">
        <v>86</v>
      </c>
      <c r="F164">
        <v>1</v>
      </c>
      <c r="G164" t="s">
        <v>83</v>
      </c>
      <c r="H164">
        <f>MAX(IFERROR(VLOOKUP(LOWER(SUBSTITUTE(E164,"*","")),Parameters!$E$2:$F$5,2,FALSE),0),IFERROR(VLOOKUP(LOWER(SUBSTITUTE(G164,"*","")),Parameters!$E$2:$F$5,2,FALSE),0))</f>
        <v>3</v>
      </c>
      <c r="I164" t="s">
        <v>63</v>
      </c>
    </row>
    <row r="165" spans="1:9">
      <c r="A165" t="s">
        <v>251</v>
      </c>
      <c r="B165" t="s">
        <v>52</v>
      </c>
      <c r="C165">
        <v>0</v>
      </c>
      <c r="D165">
        <v>0</v>
      </c>
      <c r="E165" t="s">
        <v>53</v>
      </c>
      <c r="F165">
        <v>0</v>
      </c>
      <c r="G165" t="s">
        <v>53</v>
      </c>
      <c r="H165">
        <f>MAX(IFERROR(VLOOKUP(LOWER(SUBSTITUTE(E165,"*","")),Parameters!$E$2:$F$5,2,FALSE),0),IFERROR(VLOOKUP(LOWER(SUBSTITUTE(G165,"*","")),Parameters!$E$2:$F$5,2,FALSE),0))</f>
        <v>0</v>
      </c>
      <c r="I165" t="s">
        <v>55</v>
      </c>
    </row>
    <row r="166" spans="1:9">
      <c r="A166" t="s">
        <v>252</v>
      </c>
      <c r="B166" t="s">
        <v>52</v>
      </c>
      <c r="C166">
        <v>0</v>
      </c>
      <c r="D166">
        <v>0</v>
      </c>
      <c r="E166" t="s">
        <v>54</v>
      </c>
      <c r="F166">
        <v>0</v>
      </c>
      <c r="G166" t="s">
        <v>53</v>
      </c>
      <c r="H166">
        <f>MAX(IFERROR(VLOOKUP(LOWER(SUBSTITUTE(E166,"*","")),Parameters!$E$2:$F$5,2,FALSE),0),IFERROR(VLOOKUP(LOWER(SUBSTITUTE(G166,"*","")),Parameters!$E$2:$F$5,2,FALSE),0))</f>
        <v>1</v>
      </c>
      <c r="I166" t="s">
        <v>55</v>
      </c>
    </row>
    <row r="167" spans="1:9">
      <c r="A167" t="s">
        <v>253</v>
      </c>
      <c r="B167" t="s">
        <v>52</v>
      </c>
      <c r="C167">
        <v>0</v>
      </c>
      <c r="D167">
        <v>0</v>
      </c>
      <c r="E167" t="s">
        <v>53</v>
      </c>
      <c r="F167">
        <v>1</v>
      </c>
      <c r="G167" t="s">
        <v>83</v>
      </c>
      <c r="H167">
        <f>MAX(IFERROR(VLOOKUP(LOWER(SUBSTITUTE(E167,"*","")),Parameters!$E$2:$F$5,2,FALSE),0),IFERROR(VLOOKUP(LOWER(SUBSTITUTE(G167,"*","")),Parameters!$E$2:$F$5,2,FALSE),0))</f>
        <v>2</v>
      </c>
      <c r="I167" t="s">
        <v>55</v>
      </c>
    </row>
    <row r="168" spans="1:9">
      <c r="A168" t="s">
        <v>254</v>
      </c>
      <c r="B168" t="s">
        <v>52</v>
      </c>
      <c r="C168">
        <v>0</v>
      </c>
      <c r="D168">
        <v>0</v>
      </c>
      <c r="E168" t="s">
        <v>54</v>
      </c>
      <c r="F168">
        <v>0</v>
      </c>
      <c r="G168" t="s">
        <v>54</v>
      </c>
      <c r="H168">
        <f>MAX(IFERROR(VLOOKUP(LOWER(SUBSTITUTE(E168,"*","")),Parameters!$E$2:$F$5,2,FALSE),0),IFERROR(VLOOKUP(LOWER(SUBSTITUTE(G168,"*","")),Parameters!$E$2:$F$5,2,FALSE),0))</f>
        <v>1</v>
      </c>
      <c r="I168" t="s">
        <v>55</v>
      </c>
    </row>
    <row r="169" spans="1:9">
      <c r="A169" t="s">
        <v>255</v>
      </c>
      <c r="B169" t="s">
        <v>146</v>
      </c>
      <c r="C169">
        <v>1</v>
      </c>
      <c r="D169">
        <v>1</v>
      </c>
      <c r="E169" t="s">
        <v>86</v>
      </c>
      <c r="F169">
        <v>1</v>
      </c>
      <c r="G169" t="s">
        <v>83</v>
      </c>
      <c r="H169">
        <f>MAX(IFERROR(VLOOKUP(LOWER(SUBSTITUTE(E169,"*","")),Parameters!$E$2:$F$5,2,FALSE),0),IFERROR(VLOOKUP(LOWER(SUBSTITUTE(G169,"*","")),Parameters!$E$2:$F$5,2,FALSE),0))</f>
        <v>3</v>
      </c>
      <c r="I169" t="s">
        <v>63</v>
      </c>
    </row>
    <row r="170" spans="1:9">
      <c r="A170" t="s">
        <v>256</v>
      </c>
      <c r="B170" t="s">
        <v>146</v>
      </c>
      <c r="C170">
        <v>1</v>
      </c>
      <c r="D170">
        <v>1</v>
      </c>
      <c r="E170" t="s">
        <v>86</v>
      </c>
      <c r="F170">
        <v>1</v>
      </c>
      <c r="G170" t="s">
        <v>86</v>
      </c>
      <c r="H170">
        <f>MAX(IFERROR(VLOOKUP(LOWER(SUBSTITUTE(E170,"*","")),Parameters!$E$2:$F$5,2,FALSE),0),IFERROR(VLOOKUP(LOWER(SUBSTITUTE(G170,"*","")),Parameters!$E$2:$F$5,2,FALSE),0))</f>
        <v>3</v>
      </c>
      <c r="I170" t="s">
        <v>63</v>
      </c>
    </row>
    <row r="171" spans="1:9">
      <c r="A171" t="s">
        <v>257</v>
      </c>
      <c r="B171" t="s">
        <v>52</v>
      </c>
      <c r="C171">
        <v>0</v>
      </c>
      <c r="D171">
        <v>0</v>
      </c>
      <c r="E171" t="s">
        <v>53</v>
      </c>
      <c r="F171">
        <v>1</v>
      </c>
      <c r="G171" t="s">
        <v>83</v>
      </c>
      <c r="H171">
        <f>MAX(IFERROR(VLOOKUP(LOWER(SUBSTITUTE(E171,"*","")),Parameters!$E$2:$F$5,2,FALSE),0),IFERROR(VLOOKUP(LOWER(SUBSTITUTE(G171,"*","")),Parameters!$E$2:$F$5,2,FALSE),0))</f>
        <v>2</v>
      </c>
      <c r="I171" t="s">
        <v>55</v>
      </c>
    </row>
    <row r="172" spans="1:9">
      <c r="A172" t="s">
        <v>258</v>
      </c>
      <c r="B172" t="s">
        <v>52</v>
      </c>
      <c r="C172">
        <v>0</v>
      </c>
      <c r="D172">
        <v>0</v>
      </c>
      <c r="E172" t="s">
        <v>54</v>
      </c>
      <c r="F172">
        <v>0</v>
      </c>
      <c r="G172" t="s">
        <v>53</v>
      </c>
      <c r="H172">
        <f>MAX(IFERROR(VLOOKUP(LOWER(SUBSTITUTE(E172,"*","")),Parameters!$E$2:$F$5,2,FALSE),0),IFERROR(VLOOKUP(LOWER(SUBSTITUTE(G172,"*","")),Parameters!$E$2:$F$5,2,FALSE),0))</f>
        <v>1</v>
      </c>
      <c r="I172" t="s">
        <v>55</v>
      </c>
    </row>
    <row r="173" spans="1:9">
      <c r="A173" t="s">
        <v>259</v>
      </c>
      <c r="B173" t="s">
        <v>52</v>
      </c>
      <c r="C173">
        <v>0</v>
      </c>
      <c r="D173">
        <v>1</v>
      </c>
      <c r="E173" t="s">
        <v>83</v>
      </c>
      <c r="F173">
        <v>0</v>
      </c>
      <c r="G173" t="s">
        <v>53</v>
      </c>
      <c r="H173">
        <f>MAX(IFERROR(VLOOKUP(LOWER(SUBSTITUTE(E173,"*","")),Parameters!$E$2:$F$5,2,FALSE),0),IFERROR(VLOOKUP(LOWER(SUBSTITUTE(G173,"*","")),Parameters!$E$2:$F$5,2,FALSE),0))</f>
        <v>2</v>
      </c>
      <c r="I173" t="s">
        <v>55</v>
      </c>
    </row>
    <row r="174" spans="1:9">
      <c r="A174" t="s">
        <v>260</v>
      </c>
      <c r="B174" t="s">
        <v>52</v>
      </c>
      <c r="C174">
        <v>0</v>
      </c>
      <c r="D174">
        <v>0</v>
      </c>
      <c r="E174" t="s">
        <v>53</v>
      </c>
      <c r="F174">
        <v>0</v>
      </c>
      <c r="G174" t="s">
        <v>54</v>
      </c>
      <c r="H174">
        <f>MAX(IFERROR(VLOOKUP(LOWER(SUBSTITUTE(E174,"*","")),Parameters!$E$2:$F$5,2,FALSE),0),IFERROR(VLOOKUP(LOWER(SUBSTITUTE(G174,"*","")),Parameters!$E$2:$F$5,2,FALSE),0))</f>
        <v>1</v>
      </c>
      <c r="I174" t="s">
        <v>55</v>
      </c>
    </row>
    <row r="175" spans="1:9">
      <c r="A175" t="s">
        <v>261</v>
      </c>
      <c r="B175" t="s">
        <v>52</v>
      </c>
      <c r="C175">
        <v>0</v>
      </c>
      <c r="D175">
        <v>0</v>
      </c>
      <c r="E175" t="s">
        <v>54</v>
      </c>
      <c r="F175">
        <v>1</v>
      </c>
      <c r="G175" t="s">
        <v>83</v>
      </c>
      <c r="H175">
        <f>MAX(IFERROR(VLOOKUP(LOWER(SUBSTITUTE(E175,"*","")),Parameters!$E$2:$F$5,2,FALSE),0),IFERROR(VLOOKUP(LOWER(SUBSTITUTE(G175,"*","")),Parameters!$E$2:$F$5,2,FALSE),0))</f>
        <v>2</v>
      </c>
      <c r="I175" t="s">
        <v>55</v>
      </c>
    </row>
    <row r="176" spans="1:9">
      <c r="A176" t="s">
        <v>262</v>
      </c>
      <c r="B176" t="s">
        <v>52</v>
      </c>
      <c r="C176">
        <v>0</v>
      </c>
      <c r="D176">
        <v>0</v>
      </c>
      <c r="E176" t="s">
        <v>53</v>
      </c>
      <c r="F176">
        <v>0</v>
      </c>
      <c r="G176" t="s">
        <v>53</v>
      </c>
      <c r="H176">
        <f>MAX(IFERROR(VLOOKUP(LOWER(SUBSTITUTE(E176,"*","")),Parameters!$E$2:$F$5,2,FALSE),0),IFERROR(VLOOKUP(LOWER(SUBSTITUTE(G176,"*","")),Parameters!$E$2:$F$5,2,FALSE),0))</f>
        <v>0</v>
      </c>
      <c r="I176" t="s">
        <v>55</v>
      </c>
    </row>
    <row r="177" spans="1:9">
      <c r="A177" t="s">
        <v>263</v>
      </c>
      <c r="B177" t="s">
        <v>52</v>
      </c>
      <c r="C177">
        <v>0</v>
      </c>
      <c r="D177">
        <v>0</v>
      </c>
      <c r="E177" t="s">
        <v>53</v>
      </c>
      <c r="F177">
        <v>0</v>
      </c>
      <c r="G177" t="s">
        <v>53</v>
      </c>
      <c r="H177">
        <f>MAX(IFERROR(VLOOKUP(LOWER(SUBSTITUTE(E177,"*","")),Parameters!$E$2:$F$5,2,FALSE),0),IFERROR(VLOOKUP(LOWER(SUBSTITUTE(G177,"*","")),Parameters!$E$2:$F$5,2,FALSE),0))</f>
        <v>0</v>
      </c>
      <c r="I177" t="s">
        <v>55</v>
      </c>
    </row>
    <row r="178" spans="1:9">
      <c r="A178" t="s">
        <v>264</v>
      </c>
      <c r="B178" t="s">
        <v>52</v>
      </c>
      <c r="C178">
        <v>0</v>
      </c>
      <c r="D178">
        <v>0</v>
      </c>
      <c r="E178" t="s">
        <v>53</v>
      </c>
      <c r="F178">
        <v>0</v>
      </c>
      <c r="G178" t="s">
        <v>54</v>
      </c>
      <c r="H178">
        <f>MAX(IFERROR(VLOOKUP(LOWER(SUBSTITUTE(E178,"*","")),Parameters!$E$2:$F$5,2,FALSE),0),IFERROR(VLOOKUP(LOWER(SUBSTITUTE(G178,"*","")),Parameters!$E$2:$F$5,2,FALSE),0))</f>
        <v>1</v>
      </c>
      <c r="I178" t="s">
        <v>55</v>
      </c>
    </row>
    <row r="179" spans="1:9">
      <c r="A179" t="s">
        <v>265</v>
      </c>
      <c r="B179" t="s">
        <v>52</v>
      </c>
      <c r="C179">
        <v>0</v>
      </c>
      <c r="D179">
        <v>0</v>
      </c>
      <c r="E179" t="s">
        <v>53</v>
      </c>
      <c r="F179">
        <v>0</v>
      </c>
      <c r="G179" t="s">
        <v>53</v>
      </c>
      <c r="H179">
        <f>MAX(IFERROR(VLOOKUP(LOWER(SUBSTITUTE(E179,"*","")),Parameters!$E$2:$F$5,2,FALSE),0),IFERROR(VLOOKUP(LOWER(SUBSTITUTE(G179,"*","")),Parameters!$E$2:$F$5,2,FALSE),0))</f>
        <v>0</v>
      </c>
      <c r="I179" t="s">
        <v>55</v>
      </c>
    </row>
    <row r="180" spans="1:9">
      <c r="A180" t="s">
        <v>266</v>
      </c>
      <c r="B180" t="s">
        <v>52</v>
      </c>
      <c r="C180">
        <v>0</v>
      </c>
      <c r="D180">
        <v>0</v>
      </c>
      <c r="E180" t="s">
        <v>53</v>
      </c>
      <c r="F180">
        <v>0</v>
      </c>
      <c r="G180" t="s">
        <v>54</v>
      </c>
      <c r="H180">
        <f>MAX(IFERROR(VLOOKUP(LOWER(SUBSTITUTE(E180,"*","")),Parameters!$E$2:$F$5,2,FALSE),0),IFERROR(VLOOKUP(LOWER(SUBSTITUTE(G180,"*","")),Parameters!$E$2:$F$5,2,FALSE),0))</f>
        <v>1</v>
      </c>
      <c r="I180" t="s">
        <v>55</v>
      </c>
    </row>
    <row r="181" spans="1:9">
      <c r="A181" t="s">
        <v>267</v>
      </c>
      <c r="B181" t="s">
        <v>268</v>
      </c>
      <c r="C181">
        <v>1</v>
      </c>
      <c r="D181">
        <v>1</v>
      </c>
      <c r="E181" t="s">
        <v>86</v>
      </c>
      <c r="F181">
        <v>1</v>
      </c>
      <c r="G181" t="s">
        <v>83</v>
      </c>
      <c r="H181">
        <f>MAX(IFERROR(VLOOKUP(LOWER(SUBSTITUTE(E181,"*","")),Parameters!$E$2:$F$5,2,FALSE),0),IFERROR(VLOOKUP(LOWER(SUBSTITUTE(G181,"*","")),Parameters!$E$2:$F$5,2,FALSE),0))</f>
        <v>3</v>
      </c>
      <c r="I181" t="s">
        <v>63</v>
      </c>
    </row>
    <row r="182" spans="1:9">
      <c r="A182" t="s">
        <v>269</v>
      </c>
      <c r="B182" t="s">
        <v>52</v>
      </c>
      <c r="C182">
        <v>0</v>
      </c>
      <c r="D182">
        <v>0</v>
      </c>
      <c r="E182" t="s">
        <v>53</v>
      </c>
      <c r="F182">
        <v>0</v>
      </c>
      <c r="G182" t="s">
        <v>53</v>
      </c>
      <c r="H182">
        <f>MAX(IFERROR(VLOOKUP(LOWER(SUBSTITUTE(E182,"*","")),Parameters!$E$2:$F$5,2,FALSE),0),IFERROR(VLOOKUP(LOWER(SUBSTITUTE(G182,"*","")),Parameters!$E$2:$F$5,2,FALSE),0))</f>
        <v>0</v>
      </c>
      <c r="I182" t="s">
        <v>55</v>
      </c>
    </row>
    <row r="183" spans="1:9">
      <c r="A183" t="s">
        <v>270</v>
      </c>
      <c r="B183" t="s">
        <v>146</v>
      </c>
      <c r="C183">
        <v>1</v>
      </c>
      <c r="D183">
        <v>1</v>
      </c>
      <c r="E183" t="s">
        <v>86</v>
      </c>
      <c r="F183">
        <v>1</v>
      </c>
      <c r="G183" t="s">
        <v>83</v>
      </c>
      <c r="H183">
        <f>MAX(IFERROR(VLOOKUP(LOWER(SUBSTITUTE(E183,"*","")),Parameters!$E$2:$F$5,2,FALSE),0),IFERROR(VLOOKUP(LOWER(SUBSTITUTE(G183,"*","")),Parameters!$E$2:$F$5,2,FALSE),0))</f>
        <v>3</v>
      </c>
      <c r="I183" t="s">
        <v>63</v>
      </c>
    </row>
    <row r="184" spans="1:9">
      <c r="A184" t="s">
        <v>271</v>
      </c>
      <c r="B184" t="s">
        <v>52</v>
      </c>
      <c r="C184">
        <v>0</v>
      </c>
      <c r="D184">
        <v>0</v>
      </c>
      <c r="E184" t="s">
        <v>53</v>
      </c>
      <c r="F184">
        <v>0</v>
      </c>
      <c r="G184" t="s">
        <v>53</v>
      </c>
      <c r="H184">
        <f>MAX(IFERROR(VLOOKUP(LOWER(SUBSTITUTE(E184,"*","")),Parameters!$E$2:$F$5,2,FALSE),0),IFERROR(VLOOKUP(LOWER(SUBSTITUTE(G184,"*","")),Parameters!$E$2:$F$5,2,FALSE),0))</f>
        <v>0</v>
      </c>
      <c r="I184" t="s">
        <v>55</v>
      </c>
    </row>
    <row r="185" spans="1:9">
      <c r="A185" t="s">
        <v>272</v>
      </c>
      <c r="B185" t="s">
        <v>242</v>
      </c>
      <c r="C185">
        <v>0</v>
      </c>
      <c r="D185">
        <v>0</v>
      </c>
      <c r="E185" t="s">
        <v>53</v>
      </c>
      <c r="F185">
        <v>1</v>
      </c>
      <c r="G185" t="s">
        <v>83</v>
      </c>
      <c r="H185">
        <f>MAX(IFERROR(VLOOKUP(LOWER(SUBSTITUTE(E185,"*","")),Parameters!$E$2:$F$5,2,FALSE),0),IFERROR(VLOOKUP(LOWER(SUBSTITUTE(G185,"*","")),Parameters!$E$2:$F$5,2,FALSE),0))</f>
        <v>2</v>
      </c>
      <c r="I185" t="s">
        <v>63</v>
      </c>
    </row>
    <row r="186" spans="1:9">
      <c r="A186" t="s">
        <v>273</v>
      </c>
      <c r="B186" t="s">
        <v>52</v>
      </c>
      <c r="C186">
        <v>0</v>
      </c>
      <c r="D186">
        <v>0</v>
      </c>
      <c r="E186" t="s">
        <v>53</v>
      </c>
      <c r="F186">
        <v>0</v>
      </c>
      <c r="G186" t="s">
        <v>54</v>
      </c>
      <c r="H186">
        <f>MAX(IFERROR(VLOOKUP(LOWER(SUBSTITUTE(E186,"*","")),Parameters!$E$2:$F$5,2,FALSE),0),IFERROR(VLOOKUP(LOWER(SUBSTITUTE(G186,"*","")),Parameters!$E$2:$F$5,2,FALSE),0))</f>
        <v>1</v>
      </c>
      <c r="I186" t="s">
        <v>55</v>
      </c>
    </row>
    <row r="187" spans="1:9">
      <c r="A187" t="s">
        <v>274</v>
      </c>
      <c r="B187" t="s">
        <v>52</v>
      </c>
      <c r="C187">
        <v>0</v>
      </c>
      <c r="D187">
        <v>0</v>
      </c>
      <c r="E187" t="s">
        <v>53</v>
      </c>
      <c r="F187">
        <v>0</v>
      </c>
      <c r="G187" t="s">
        <v>53</v>
      </c>
      <c r="H187">
        <f>MAX(IFERROR(VLOOKUP(LOWER(SUBSTITUTE(E187,"*","")),Parameters!$E$2:$F$5,2,FALSE),0),IFERROR(VLOOKUP(LOWER(SUBSTITUTE(G187,"*","")),Parameters!$E$2:$F$5,2,FALSE),0))</f>
        <v>0</v>
      </c>
      <c r="I187" t="s">
        <v>55</v>
      </c>
    </row>
    <row r="188" spans="1:9">
      <c r="A188" t="s">
        <v>275</v>
      </c>
      <c r="B188" t="s">
        <v>52</v>
      </c>
      <c r="C188">
        <v>0</v>
      </c>
      <c r="D188">
        <v>0</v>
      </c>
      <c r="E188" t="s">
        <v>53</v>
      </c>
      <c r="F188">
        <v>0</v>
      </c>
      <c r="G188" t="s">
        <v>53</v>
      </c>
      <c r="H188">
        <f>MAX(IFERROR(VLOOKUP(LOWER(SUBSTITUTE(E188,"*","")),Parameters!$E$2:$F$5,2,FALSE),0),IFERROR(VLOOKUP(LOWER(SUBSTITUTE(G188,"*","")),Parameters!$E$2:$F$5,2,FALSE),0))</f>
        <v>0</v>
      </c>
      <c r="I188" t="s">
        <v>55</v>
      </c>
    </row>
    <row r="189" spans="1:9">
      <c r="A189" t="s">
        <v>276</v>
      </c>
      <c r="B189" t="s">
        <v>94</v>
      </c>
      <c r="C189">
        <v>0</v>
      </c>
      <c r="D189">
        <v>0</v>
      </c>
      <c r="E189" t="s">
        <v>53</v>
      </c>
      <c r="F189">
        <v>0</v>
      </c>
      <c r="G189" t="s">
        <v>54</v>
      </c>
      <c r="H189">
        <f>MAX(IFERROR(VLOOKUP(LOWER(SUBSTITUTE(E189,"*","")),Parameters!$E$2:$F$5,2,FALSE),0),IFERROR(VLOOKUP(LOWER(SUBSTITUTE(G189,"*","")),Parameters!$E$2:$F$5,2,FALSE),0))</f>
        <v>1</v>
      </c>
      <c r="I189" t="s">
        <v>63</v>
      </c>
    </row>
    <row r="190" spans="1:9">
      <c r="A190" t="s">
        <v>277</v>
      </c>
      <c r="B190" t="s">
        <v>52</v>
      </c>
      <c r="C190">
        <v>0</v>
      </c>
      <c r="D190">
        <v>0</v>
      </c>
      <c r="E190" t="s">
        <v>53</v>
      </c>
      <c r="F190">
        <v>0</v>
      </c>
      <c r="G190" t="s">
        <v>54</v>
      </c>
      <c r="H190">
        <f>MAX(IFERROR(VLOOKUP(LOWER(SUBSTITUTE(E190,"*","")),Parameters!$E$2:$F$5,2,FALSE),0),IFERROR(VLOOKUP(LOWER(SUBSTITUTE(G190,"*","")),Parameters!$E$2:$F$5,2,FALSE),0))</f>
        <v>1</v>
      </c>
      <c r="I190" t="s">
        <v>55</v>
      </c>
    </row>
    <row r="191" spans="1:9">
      <c r="A191" t="s">
        <v>278</v>
      </c>
      <c r="B191" t="s">
        <v>52</v>
      </c>
      <c r="C191">
        <v>0</v>
      </c>
      <c r="D191">
        <v>0</v>
      </c>
      <c r="E191" t="s">
        <v>53</v>
      </c>
      <c r="F191">
        <v>0</v>
      </c>
      <c r="G191" t="s">
        <v>54</v>
      </c>
      <c r="H191">
        <f>MAX(IFERROR(VLOOKUP(LOWER(SUBSTITUTE(E191,"*","")),Parameters!$E$2:$F$5,2,FALSE),0),IFERROR(VLOOKUP(LOWER(SUBSTITUTE(G191,"*","")),Parameters!$E$2:$F$5,2,FALSE),0))</f>
        <v>1</v>
      </c>
      <c r="I191" t="s">
        <v>55</v>
      </c>
    </row>
    <row r="192" spans="1:9">
      <c r="A192" t="s">
        <v>279</v>
      </c>
      <c r="B192" t="s">
        <v>52</v>
      </c>
      <c r="C192">
        <v>0</v>
      </c>
      <c r="D192">
        <v>0</v>
      </c>
      <c r="E192" t="s">
        <v>53</v>
      </c>
      <c r="F192">
        <v>0</v>
      </c>
      <c r="G192" t="s">
        <v>53</v>
      </c>
      <c r="H192">
        <f>MAX(IFERROR(VLOOKUP(LOWER(SUBSTITUTE(E192,"*","")),Parameters!$E$2:$F$5,2,FALSE),0),IFERROR(VLOOKUP(LOWER(SUBSTITUTE(G192,"*","")),Parameters!$E$2:$F$5,2,FALSE),0))</f>
        <v>0</v>
      </c>
      <c r="I192" t="s">
        <v>55</v>
      </c>
    </row>
    <row r="193" spans="1:9">
      <c r="A193" t="s">
        <v>280</v>
      </c>
      <c r="B193" t="s">
        <v>52</v>
      </c>
      <c r="C193">
        <v>0</v>
      </c>
      <c r="D193">
        <v>0</v>
      </c>
      <c r="E193" t="s">
        <v>54</v>
      </c>
      <c r="F193">
        <v>0</v>
      </c>
      <c r="G193" t="s">
        <v>54</v>
      </c>
      <c r="H193">
        <f>MAX(IFERROR(VLOOKUP(LOWER(SUBSTITUTE(E193,"*","")),Parameters!$E$2:$F$5,2,FALSE),0),IFERROR(VLOOKUP(LOWER(SUBSTITUTE(G193,"*","")),Parameters!$E$2:$F$5,2,FALSE),0))</f>
        <v>1</v>
      </c>
      <c r="I193" t="s">
        <v>55</v>
      </c>
    </row>
    <row r="194" spans="1:9">
      <c r="A194" t="s">
        <v>281</v>
      </c>
      <c r="B194" t="s">
        <v>52</v>
      </c>
      <c r="C194">
        <v>0</v>
      </c>
      <c r="D194">
        <v>0</v>
      </c>
      <c r="E194" t="s">
        <v>53</v>
      </c>
      <c r="F194">
        <v>1</v>
      </c>
      <c r="G194" t="s">
        <v>83</v>
      </c>
      <c r="H194">
        <f>MAX(IFERROR(VLOOKUP(LOWER(SUBSTITUTE(E194,"*","")),Parameters!$E$2:$F$5,2,FALSE),0),IFERROR(VLOOKUP(LOWER(SUBSTITUTE(G194,"*","")),Parameters!$E$2:$F$5,2,FALSE),0))</f>
        <v>2</v>
      </c>
      <c r="I194" t="s">
        <v>55</v>
      </c>
    </row>
    <row r="195" spans="1:9">
      <c r="A195" t="s">
        <v>282</v>
      </c>
      <c r="B195" t="s">
        <v>52</v>
      </c>
      <c r="C195">
        <v>0</v>
      </c>
      <c r="D195">
        <v>0</v>
      </c>
      <c r="E195" t="s">
        <v>53</v>
      </c>
      <c r="F195">
        <v>0</v>
      </c>
      <c r="G195" t="s">
        <v>53</v>
      </c>
      <c r="H195">
        <f>MAX(IFERROR(VLOOKUP(LOWER(SUBSTITUTE(E195,"*","")),Parameters!$E$2:$F$5,2,FALSE),0),IFERROR(VLOOKUP(LOWER(SUBSTITUTE(G195,"*","")),Parameters!$E$2:$F$5,2,FALSE),0))</f>
        <v>0</v>
      </c>
      <c r="I195" t="s">
        <v>55</v>
      </c>
    </row>
    <row r="196" spans="1:9">
      <c r="A196" t="s">
        <v>283</v>
      </c>
      <c r="B196" t="s">
        <v>52</v>
      </c>
      <c r="C196">
        <v>0</v>
      </c>
      <c r="D196">
        <v>0</v>
      </c>
      <c r="E196" t="s">
        <v>53</v>
      </c>
      <c r="F196">
        <v>0</v>
      </c>
      <c r="G196" t="s">
        <v>53</v>
      </c>
      <c r="H196">
        <f>MAX(IFERROR(VLOOKUP(LOWER(SUBSTITUTE(E196,"*","")),Parameters!$E$2:$F$5,2,FALSE),0),IFERROR(VLOOKUP(LOWER(SUBSTITUTE(G196,"*","")),Parameters!$E$2:$F$5,2,FALSE),0))</f>
        <v>0</v>
      </c>
      <c r="I196" t="s">
        <v>55</v>
      </c>
    </row>
    <row r="197" spans="1:9">
      <c r="A197" t="s">
        <v>284</v>
      </c>
      <c r="B197" t="s">
        <v>52</v>
      </c>
      <c r="C197">
        <v>0</v>
      </c>
      <c r="D197">
        <v>0</v>
      </c>
      <c r="E197" t="s">
        <v>53</v>
      </c>
      <c r="F197">
        <v>0</v>
      </c>
      <c r="G197" t="s">
        <v>54</v>
      </c>
      <c r="H197">
        <f>MAX(IFERROR(VLOOKUP(LOWER(SUBSTITUTE(E197,"*","")),Parameters!$E$2:$F$5,2,FALSE),0),IFERROR(VLOOKUP(LOWER(SUBSTITUTE(G197,"*","")),Parameters!$E$2:$F$5,2,FALSE),0))</f>
        <v>1</v>
      </c>
      <c r="I197" t="s">
        <v>55</v>
      </c>
    </row>
    <row r="198" spans="1:9">
      <c r="A198" t="s">
        <v>285</v>
      </c>
      <c r="B198" t="s">
        <v>52</v>
      </c>
      <c r="C198">
        <v>0</v>
      </c>
      <c r="D198">
        <v>0</v>
      </c>
      <c r="E198" t="s">
        <v>53</v>
      </c>
      <c r="F198">
        <v>0</v>
      </c>
      <c r="G198" t="s">
        <v>53</v>
      </c>
      <c r="H198">
        <f>MAX(IFERROR(VLOOKUP(LOWER(SUBSTITUTE(E198,"*","")),Parameters!$E$2:$F$5,2,FALSE),0),IFERROR(VLOOKUP(LOWER(SUBSTITUTE(G198,"*","")),Parameters!$E$2:$F$5,2,FALSE),0))</f>
        <v>0</v>
      </c>
      <c r="I198" t="s">
        <v>55</v>
      </c>
    </row>
    <row r="199" spans="1:9">
      <c r="A199" t="s">
        <v>286</v>
      </c>
      <c r="B199" t="s">
        <v>52</v>
      </c>
      <c r="C199">
        <v>0</v>
      </c>
      <c r="D199">
        <v>0</v>
      </c>
      <c r="E199" t="s">
        <v>53</v>
      </c>
      <c r="F199">
        <v>0</v>
      </c>
      <c r="G199" t="s">
        <v>53</v>
      </c>
      <c r="H199">
        <f>MAX(IFERROR(VLOOKUP(LOWER(SUBSTITUTE(E199,"*","")),Parameters!$E$2:$F$5,2,FALSE),0),IFERROR(VLOOKUP(LOWER(SUBSTITUTE(G199,"*","")),Parameters!$E$2:$F$5,2,FALSE),0))</f>
        <v>0</v>
      </c>
      <c r="I199" t="s">
        <v>55</v>
      </c>
    </row>
    <row r="200" spans="1:9">
      <c r="A200" t="s">
        <v>287</v>
      </c>
      <c r="B200" t="s">
        <v>52</v>
      </c>
      <c r="C200">
        <v>0</v>
      </c>
      <c r="D200">
        <v>0</v>
      </c>
      <c r="E200" t="s">
        <v>53</v>
      </c>
      <c r="F200">
        <v>0</v>
      </c>
      <c r="G200" t="s">
        <v>53</v>
      </c>
      <c r="H200">
        <f>MAX(IFERROR(VLOOKUP(LOWER(SUBSTITUTE(E200,"*","")),Parameters!$E$2:$F$5,2,FALSE),0),IFERROR(VLOOKUP(LOWER(SUBSTITUTE(G200,"*","")),Parameters!$E$2:$F$5,2,FALSE),0))</f>
        <v>0</v>
      </c>
      <c r="I200" t="s">
        <v>55</v>
      </c>
    </row>
    <row r="201" spans="1:9">
      <c r="A201" t="s">
        <v>288</v>
      </c>
      <c r="B201" t="s">
        <v>52</v>
      </c>
      <c r="C201">
        <v>0</v>
      </c>
      <c r="D201">
        <v>0</v>
      </c>
      <c r="E201" t="s">
        <v>53</v>
      </c>
      <c r="F201">
        <v>0</v>
      </c>
      <c r="G201" t="s">
        <v>54</v>
      </c>
      <c r="H201">
        <f>MAX(IFERROR(VLOOKUP(LOWER(SUBSTITUTE(E201,"*","")),Parameters!$E$2:$F$5,2,FALSE),0),IFERROR(VLOOKUP(LOWER(SUBSTITUTE(G201,"*","")),Parameters!$E$2:$F$5,2,FALSE),0))</f>
        <v>1</v>
      </c>
      <c r="I201" t="s">
        <v>55</v>
      </c>
    </row>
    <row r="202" spans="1:9">
      <c r="A202" t="s">
        <v>289</v>
      </c>
      <c r="B202" t="s">
        <v>52</v>
      </c>
      <c r="C202">
        <v>0</v>
      </c>
      <c r="D202">
        <v>0</v>
      </c>
      <c r="E202" t="s">
        <v>53</v>
      </c>
      <c r="F202">
        <v>0</v>
      </c>
      <c r="G202" t="s">
        <v>53</v>
      </c>
      <c r="H202">
        <f>MAX(IFERROR(VLOOKUP(LOWER(SUBSTITUTE(E202,"*","")),Parameters!$E$2:$F$5,2,FALSE),0),IFERROR(VLOOKUP(LOWER(SUBSTITUTE(G202,"*","")),Parameters!$E$2:$F$5,2,FALSE),0))</f>
        <v>0</v>
      </c>
      <c r="I202" t="s">
        <v>55</v>
      </c>
    </row>
    <row r="203" spans="1:9">
      <c r="A203" t="s">
        <v>290</v>
      </c>
      <c r="B203" t="s">
        <v>201</v>
      </c>
      <c r="C203">
        <v>0</v>
      </c>
      <c r="D203">
        <v>0</v>
      </c>
      <c r="E203" t="s">
        <v>54</v>
      </c>
      <c r="F203">
        <v>1</v>
      </c>
      <c r="G203" t="s">
        <v>83</v>
      </c>
      <c r="H203">
        <f>MAX(IFERROR(VLOOKUP(LOWER(SUBSTITUTE(E203,"*","")),Parameters!$E$2:$F$5,2,FALSE),0),IFERROR(VLOOKUP(LOWER(SUBSTITUTE(G203,"*","")),Parameters!$E$2:$F$5,2,FALSE),0))</f>
        <v>2</v>
      </c>
      <c r="I203" t="s">
        <v>63</v>
      </c>
    </row>
    <row r="204" spans="1:9">
      <c r="A204" t="s">
        <v>291</v>
      </c>
      <c r="B204" t="s">
        <v>52</v>
      </c>
      <c r="C204">
        <v>0</v>
      </c>
      <c r="D204">
        <v>0</v>
      </c>
      <c r="E204" t="s">
        <v>54</v>
      </c>
      <c r="F204">
        <v>1</v>
      </c>
      <c r="G204" t="s">
        <v>83</v>
      </c>
      <c r="H204">
        <f>MAX(IFERROR(VLOOKUP(LOWER(SUBSTITUTE(E204,"*","")),Parameters!$E$2:$F$5,2,FALSE),0),IFERROR(VLOOKUP(LOWER(SUBSTITUTE(G204,"*","")),Parameters!$E$2:$F$5,2,FALSE),0))</f>
        <v>2</v>
      </c>
      <c r="I204" t="s">
        <v>55</v>
      </c>
    </row>
    <row r="205" spans="1:9">
      <c r="A205" t="s">
        <v>292</v>
      </c>
      <c r="B205" t="s">
        <v>52</v>
      </c>
      <c r="C205">
        <v>0</v>
      </c>
      <c r="D205">
        <v>0</v>
      </c>
      <c r="E205" t="s">
        <v>53</v>
      </c>
      <c r="F205">
        <v>0</v>
      </c>
      <c r="G205" t="s">
        <v>54</v>
      </c>
      <c r="H205">
        <f>MAX(IFERROR(VLOOKUP(LOWER(SUBSTITUTE(E205,"*","")),Parameters!$E$2:$F$5,2,FALSE),0),IFERROR(VLOOKUP(LOWER(SUBSTITUTE(G205,"*","")),Parameters!$E$2:$F$5,2,FALSE),0))</f>
        <v>1</v>
      </c>
      <c r="I205" t="s">
        <v>55</v>
      </c>
    </row>
    <row r="206" spans="1:9">
      <c r="A206" t="s">
        <v>293</v>
      </c>
      <c r="B206" t="s">
        <v>52</v>
      </c>
      <c r="C206">
        <v>0</v>
      </c>
      <c r="D206">
        <v>0</v>
      </c>
      <c r="E206" t="s">
        <v>53</v>
      </c>
      <c r="F206">
        <v>0</v>
      </c>
      <c r="G206" t="s">
        <v>54</v>
      </c>
      <c r="H206">
        <f>MAX(IFERROR(VLOOKUP(LOWER(SUBSTITUTE(E206,"*","")),Parameters!$E$2:$F$5,2,FALSE),0),IFERROR(VLOOKUP(LOWER(SUBSTITUTE(G206,"*","")),Parameters!$E$2:$F$5,2,FALSE),0))</f>
        <v>1</v>
      </c>
      <c r="I206" t="s">
        <v>55</v>
      </c>
    </row>
    <row r="207" spans="1:9">
      <c r="A207" t="s">
        <v>294</v>
      </c>
      <c r="B207" t="s">
        <v>52</v>
      </c>
      <c r="C207">
        <v>0</v>
      </c>
      <c r="D207">
        <v>0</v>
      </c>
      <c r="E207" t="s">
        <v>53</v>
      </c>
      <c r="F207">
        <v>0</v>
      </c>
      <c r="G207" t="s">
        <v>54</v>
      </c>
      <c r="H207">
        <f>MAX(IFERROR(VLOOKUP(LOWER(SUBSTITUTE(E207,"*","")),Parameters!$E$2:$F$5,2,FALSE),0),IFERROR(VLOOKUP(LOWER(SUBSTITUTE(G207,"*","")),Parameters!$E$2:$F$5,2,FALSE),0))</f>
        <v>1</v>
      </c>
      <c r="I207" t="s">
        <v>55</v>
      </c>
    </row>
    <row r="208" spans="1:9">
      <c r="A208" t="s">
        <v>295</v>
      </c>
      <c r="B208" t="s">
        <v>52</v>
      </c>
      <c r="C208">
        <v>0</v>
      </c>
      <c r="D208">
        <v>0</v>
      </c>
      <c r="E208" t="s">
        <v>53</v>
      </c>
      <c r="F208">
        <v>0</v>
      </c>
      <c r="G208" t="s">
        <v>54</v>
      </c>
      <c r="H208">
        <f>MAX(IFERROR(VLOOKUP(LOWER(SUBSTITUTE(E208,"*","")),Parameters!$E$2:$F$5,2,FALSE),0),IFERROR(VLOOKUP(LOWER(SUBSTITUTE(G208,"*","")),Parameters!$E$2:$F$5,2,FALSE),0))</f>
        <v>1</v>
      </c>
      <c r="I208" t="s">
        <v>55</v>
      </c>
    </row>
    <row r="209" spans="1:9">
      <c r="A209" t="s">
        <v>296</v>
      </c>
      <c r="B209" t="s">
        <v>52</v>
      </c>
      <c r="C209">
        <v>0</v>
      </c>
      <c r="D209">
        <v>0</v>
      </c>
      <c r="E209" t="s">
        <v>53</v>
      </c>
      <c r="F209">
        <v>0</v>
      </c>
      <c r="G209" t="s">
        <v>54</v>
      </c>
      <c r="H209">
        <f>MAX(IFERROR(VLOOKUP(LOWER(SUBSTITUTE(E209,"*","")),Parameters!$E$2:$F$5,2,FALSE),0),IFERROR(VLOOKUP(LOWER(SUBSTITUTE(G209,"*","")),Parameters!$E$2:$F$5,2,FALSE),0))</f>
        <v>1</v>
      </c>
      <c r="I209" t="s">
        <v>55</v>
      </c>
    </row>
    <row r="210" spans="1:9">
      <c r="A210" t="s">
        <v>297</v>
      </c>
      <c r="B210" t="s">
        <v>52</v>
      </c>
      <c r="C210">
        <v>0</v>
      </c>
      <c r="D210">
        <v>0</v>
      </c>
      <c r="E210" t="s">
        <v>53</v>
      </c>
      <c r="F210">
        <v>0</v>
      </c>
      <c r="G210" t="s">
        <v>54</v>
      </c>
      <c r="H210">
        <f>MAX(IFERROR(VLOOKUP(LOWER(SUBSTITUTE(E210,"*","")),Parameters!$E$2:$F$5,2,FALSE),0),IFERROR(VLOOKUP(LOWER(SUBSTITUTE(G210,"*","")),Parameters!$E$2:$F$5,2,FALSE),0))</f>
        <v>1</v>
      </c>
      <c r="I210" t="s">
        <v>55</v>
      </c>
    </row>
    <row r="211" spans="1:9">
      <c r="A211" t="s">
        <v>298</v>
      </c>
      <c r="B211" t="s">
        <v>299</v>
      </c>
      <c r="C211">
        <v>1</v>
      </c>
      <c r="D211">
        <v>0</v>
      </c>
      <c r="E211" t="s">
        <v>53</v>
      </c>
      <c r="F211">
        <v>1</v>
      </c>
      <c r="G211" t="s">
        <v>86</v>
      </c>
      <c r="H211">
        <f>MAX(IFERROR(VLOOKUP(LOWER(SUBSTITUTE(E211,"*","")),Parameters!$E$2:$F$5,2,FALSE),0),IFERROR(VLOOKUP(LOWER(SUBSTITUTE(G211,"*","")),Parameters!$E$2:$F$5,2,FALSE),0))</f>
        <v>3</v>
      </c>
      <c r="I211" t="s">
        <v>63</v>
      </c>
    </row>
    <row r="212" spans="1:9">
      <c r="A212" t="s">
        <v>300</v>
      </c>
      <c r="B212" t="s">
        <v>52</v>
      </c>
      <c r="C212">
        <v>0</v>
      </c>
      <c r="D212">
        <v>0</v>
      </c>
      <c r="E212" t="s">
        <v>53</v>
      </c>
      <c r="F212">
        <v>0</v>
      </c>
      <c r="G212" t="s">
        <v>53</v>
      </c>
      <c r="H212">
        <f>MAX(IFERROR(VLOOKUP(LOWER(SUBSTITUTE(E212,"*","")),Parameters!$E$2:$F$5,2,FALSE),0),IFERROR(VLOOKUP(LOWER(SUBSTITUTE(G212,"*","")),Parameters!$E$2:$F$5,2,FALSE),0))</f>
        <v>0</v>
      </c>
      <c r="I212" t="s">
        <v>55</v>
      </c>
    </row>
    <row r="213" spans="1:9">
      <c r="A213" t="s">
        <v>301</v>
      </c>
      <c r="B213" t="s">
        <v>52</v>
      </c>
      <c r="C213">
        <v>0</v>
      </c>
      <c r="D213">
        <v>0</v>
      </c>
      <c r="E213" t="s">
        <v>53</v>
      </c>
      <c r="F213">
        <v>1</v>
      </c>
      <c r="G213" t="s">
        <v>83</v>
      </c>
      <c r="H213">
        <f>MAX(IFERROR(VLOOKUP(LOWER(SUBSTITUTE(E213,"*","")),Parameters!$E$2:$F$5,2,FALSE),0),IFERROR(VLOOKUP(LOWER(SUBSTITUTE(G213,"*","")),Parameters!$E$2:$F$5,2,FALSE),0))</f>
        <v>2</v>
      </c>
      <c r="I213" t="s">
        <v>55</v>
      </c>
    </row>
    <row r="214" spans="1:9">
      <c r="A214" t="s">
        <v>302</v>
      </c>
      <c r="B214" t="s">
        <v>52</v>
      </c>
      <c r="C214">
        <v>0</v>
      </c>
      <c r="D214">
        <v>0</v>
      </c>
      <c r="E214" t="s">
        <v>53</v>
      </c>
      <c r="F214">
        <v>1</v>
      </c>
      <c r="G214" t="s">
        <v>83</v>
      </c>
      <c r="H214">
        <f>MAX(IFERROR(VLOOKUP(LOWER(SUBSTITUTE(E214,"*","")),Parameters!$E$2:$F$5,2,FALSE),0),IFERROR(VLOOKUP(LOWER(SUBSTITUTE(G214,"*","")),Parameters!$E$2:$F$5,2,FALSE),0))</f>
        <v>2</v>
      </c>
      <c r="I214" t="s">
        <v>55</v>
      </c>
    </row>
    <row r="215" spans="1:9">
      <c r="A215" t="s">
        <v>303</v>
      </c>
      <c r="B215" t="s">
        <v>52</v>
      </c>
      <c r="C215">
        <v>0</v>
      </c>
      <c r="D215">
        <v>0</v>
      </c>
      <c r="E215" t="s">
        <v>53</v>
      </c>
      <c r="F215">
        <v>0</v>
      </c>
      <c r="G215" t="s">
        <v>53</v>
      </c>
      <c r="H215">
        <f>MAX(IFERROR(VLOOKUP(LOWER(SUBSTITUTE(E215,"*","")),Parameters!$E$2:$F$5,2,FALSE),0),IFERROR(VLOOKUP(LOWER(SUBSTITUTE(G215,"*","")),Parameters!$E$2:$F$5,2,FALSE),0))</f>
        <v>0</v>
      </c>
      <c r="I215" t="s">
        <v>55</v>
      </c>
    </row>
    <row r="216" spans="1:9">
      <c r="A216" t="s">
        <v>304</v>
      </c>
      <c r="B216" t="s">
        <v>52</v>
      </c>
      <c r="C216">
        <v>0</v>
      </c>
      <c r="D216">
        <v>0</v>
      </c>
      <c r="E216" t="s">
        <v>53</v>
      </c>
      <c r="F216">
        <v>0</v>
      </c>
      <c r="G216" t="s">
        <v>54</v>
      </c>
      <c r="H216">
        <f>MAX(IFERROR(VLOOKUP(LOWER(SUBSTITUTE(E216,"*","")),Parameters!$E$2:$F$5,2,FALSE),0),IFERROR(VLOOKUP(LOWER(SUBSTITUTE(G216,"*","")),Parameters!$E$2:$F$5,2,FALSE),0))</f>
        <v>1</v>
      </c>
      <c r="I216" t="s">
        <v>55</v>
      </c>
    </row>
    <row r="217" spans="1:9">
      <c r="A217" t="s">
        <v>305</v>
      </c>
      <c r="B217" t="s">
        <v>52</v>
      </c>
      <c r="C217">
        <v>0</v>
      </c>
      <c r="D217">
        <v>0</v>
      </c>
      <c r="E217" t="s">
        <v>53</v>
      </c>
      <c r="F217">
        <v>0</v>
      </c>
      <c r="G217" t="s">
        <v>53</v>
      </c>
      <c r="H217">
        <f>MAX(IFERROR(VLOOKUP(LOWER(SUBSTITUTE(E217,"*","")),Parameters!$E$2:$F$5,2,FALSE),0),IFERROR(VLOOKUP(LOWER(SUBSTITUTE(G217,"*","")),Parameters!$E$2:$F$5,2,FALSE),0))</f>
        <v>0</v>
      </c>
      <c r="I217" t="s">
        <v>55</v>
      </c>
    </row>
    <row r="218" spans="1:9">
      <c r="A218" t="s">
        <v>306</v>
      </c>
      <c r="B218" t="s">
        <v>52</v>
      </c>
      <c r="C218">
        <v>0</v>
      </c>
      <c r="D218">
        <v>0</v>
      </c>
      <c r="E218" t="s">
        <v>54</v>
      </c>
      <c r="F218">
        <v>0</v>
      </c>
      <c r="G218" t="s">
        <v>54</v>
      </c>
      <c r="H218">
        <f>MAX(IFERROR(VLOOKUP(LOWER(SUBSTITUTE(E218,"*","")),Parameters!$E$2:$F$5,2,FALSE),0),IFERROR(VLOOKUP(LOWER(SUBSTITUTE(G218,"*","")),Parameters!$E$2:$F$5,2,FALSE),0))</f>
        <v>1</v>
      </c>
      <c r="I218" t="s">
        <v>55</v>
      </c>
    </row>
    <row r="219" spans="1:9">
      <c r="A219" t="s">
        <v>307</v>
      </c>
      <c r="B219" t="s">
        <v>52</v>
      </c>
      <c r="C219">
        <v>0</v>
      </c>
      <c r="D219">
        <v>0</v>
      </c>
      <c r="E219" t="s">
        <v>53</v>
      </c>
      <c r="F219">
        <v>1</v>
      </c>
      <c r="G219" t="s">
        <v>83</v>
      </c>
      <c r="H219">
        <f>MAX(IFERROR(VLOOKUP(LOWER(SUBSTITUTE(E219,"*","")),Parameters!$E$2:$F$5,2,FALSE),0),IFERROR(VLOOKUP(LOWER(SUBSTITUTE(G219,"*","")),Parameters!$E$2:$F$5,2,FALSE),0))</f>
        <v>2</v>
      </c>
      <c r="I219" t="s">
        <v>55</v>
      </c>
    </row>
    <row r="220" spans="1:9">
      <c r="A220" t="s">
        <v>308</v>
      </c>
      <c r="B220" t="s">
        <v>52</v>
      </c>
      <c r="C220">
        <v>0</v>
      </c>
      <c r="D220">
        <v>0</v>
      </c>
      <c r="E220" t="s">
        <v>53</v>
      </c>
      <c r="F220">
        <v>0</v>
      </c>
      <c r="G220" t="s">
        <v>54</v>
      </c>
      <c r="H220">
        <f>MAX(IFERROR(VLOOKUP(LOWER(SUBSTITUTE(E220,"*","")),Parameters!$E$2:$F$5,2,FALSE),0),IFERROR(VLOOKUP(LOWER(SUBSTITUTE(G220,"*","")),Parameters!$E$2:$F$5,2,FALSE),0))</f>
        <v>1</v>
      </c>
      <c r="I220" t="s">
        <v>55</v>
      </c>
    </row>
    <row r="221" spans="1:9">
      <c r="A221" t="s">
        <v>309</v>
      </c>
      <c r="B221" t="s">
        <v>52</v>
      </c>
      <c r="C221">
        <v>0</v>
      </c>
      <c r="D221">
        <v>0</v>
      </c>
      <c r="E221" t="s">
        <v>53</v>
      </c>
      <c r="F221">
        <v>0</v>
      </c>
      <c r="G221" t="s">
        <v>54</v>
      </c>
      <c r="H221">
        <f>MAX(IFERROR(VLOOKUP(LOWER(SUBSTITUTE(E221,"*","")),Parameters!$E$2:$F$5,2,FALSE),0),IFERROR(VLOOKUP(LOWER(SUBSTITUTE(G221,"*","")),Parameters!$E$2:$F$5,2,FALSE),0))</f>
        <v>1</v>
      </c>
      <c r="I221" t="s">
        <v>55</v>
      </c>
    </row>
    <row r="222" spans="1:9">
      <c r="A222" t="s">
        <v>310</v>
      </c>
      <c r="B222" t="s">
        <v>52</v>
      </c>
      <c r="C222">
        <v>0</v>
      </c>
      <c r="D222">
        <v>0</v>
      </c>
      <c r="E222" t="s">
        <v>53</v>
      </c>
      <c r="F222">
        <v>0</v>
      </c>
      <c r="G222" t="s">
        <v>54</v>
      </c>
      <c r="H222">
        <f>MAX(IFERROR(VLOOKUP(LOWER(SUBSTITUTE(E222,"*","")),Parameters!$E$2:$F$5,2,FALSE),0),IFERROR(VLOOKUP(LOWER(SUBSTITUTE(G222,"*","")),Parameters!$E$2:$F$5,2,FALSE),0))</f>
        <v>1</v>
      </c>
      <c r="I222" t="s">
        <v>55</v>
      </c>
    </row>
    <row r="223" spans="1:9">
      <c r="A223" t="s">
        <v>311</v>
      </c>
      <c r="B223" t="s">
        <v>52</v>
      </c>
      <c r="C223">
        <v>0</v>
      </c>
      <c r="D223">
        <v>0</v>
      </c>
      <c r="E223" t="s">
        <v>53</v>
      </c>
      <c r="F223">
        <v>0</v>
      </c>
      <c r="G223" t="s">
        <v>53</v>
      </c>
      <c r="H223">
        <f>MAX(IFERROR(VLOOKUP(LOWER(SUBSTITUTE(E223,"*","")),Parameters!$E$2:$F$5,2,FALSE),0),IFERROR(VLOOKUP(LOWER(SUBSTITUTE(G223,"*","")),Parameters!$E$2:$F$5,2,FALSE),0))</f>
        <v>0</v>
      </c>
      <c r="I223" t="s">
        <v>55</v>
      </c>
    </row>
    <row r="224" spans="1:9">
      <c r="A224" t="s">
        <v>312</v>
      </c>
      <c r="B224" t="s">
        <v>150</v>
      </c>
      <c r="C224">
        <v>0</v>
      </c>
      <c r="D224">
        <v>0</v>
      </c>
      <c r="E224" t="s">
        <v>54</v>
      </c>
      <c r="F224">
        <v>1</v>
      </c>
      <c r="G224" t="s">
        <v>83</v>
      </c>
      <c r="H224">
        <f>MAX(IFERROR(VLOOKUP(LOWER(SUBSTITUTE(E224,"*","")),Parameters!$E$2:$F$5,2,FALSE),0),IFERROR(VLOOKUP(LOWER(SUBSTITUTE(G224,"*","")),Parameters!$E$2:$F$5,2,FALSE),0))</f>
        <v>2</v>
      </c>
      <c r="I224" t="s">
        <v>63</v>
      </c>
    </row>
    <row r="225" spans="1:9">
      <c r="A225" t="s">
        <v>313</v>
      </c>
      <c r="B225" t="s">
        <v>52</v>
      </c>
      <c r="C225">
        <v>0</v>
      </c>
      <c r="D225">
        <v>0</v>
      </c>
      <c r="E225" t="s">
        <v>53</v>
      </c>
      <c r="F225">
        <v>0</v>
      </c>
      <c r="G225" t="s">
        <v>53</v>
      </c>
      <c r="H225">
        <f>MAX(IFERROR(VLOOKUP(LOWER(SUBSTITUTE(E225,"*","")),Parameters!$E$2:$F$5,2,FALSE),0),IFERROR(VLOOKUP(LOWER(SUBSTITUTE(G225,"*","")),Parameters!$E$2:$F$5,2,FALSE),0))</f>
        <v>0</v>
      </c>
      <c r="I225" t="s">
        <v>55</v>
      </c>
    </row>
    <row r="226" spans="1:9">
      <c r="A226" t="s">
        <v>314</v>
      </c>
      <c r="B226" t="s">
        <v>52</v>
      </c>
      <c r="C226">
        <v>0</v>
      </c>
      <c r="D226">
        <v>0</v>
      </c>
      <c r="E226" t="s">
        <v>53</v>
      </c>
      <c r="F226">
        <v>0</v>
      </c>
      <c r="G226" t="s">
        <v>53</v>
      </c>
      <c r="H226">
        <f>MAX(IFERROR(VLOOKUP(LOWER(SUBSTITUTE(E226,"*","")),Parameters!$E$2:$F$5,2,FALSE),0),IFERROR(VLOOKUP(LOWER(SUBSTITUTE(G226,"*","")),Parameters!$E$2:$F$5,2,FALSE),0))</f>
        <v>0</v>
      </c>
      <c r="I226" t="s">
        <v>55</v>
      </c>
    </row>
    <row r="227" spans="1:9">
      <c r="A227" t="s">
        <v>315</v>
      </c>
      <c r="B227" t="s">
        <v>232</v>
      </c>
      <c r="C227">
        <v>0</v>
      </c>
      <c r="D227">
        <v>1</v>
      </c>
      <c r="E227" t="s">
        <v>86</v>
      </c>
      <c r="F227">
        <v>0</v>
      </c>
      <c r="G227" t="s">
        <v>54</v>
      </c>
      <c r="H227">
        <f>MAX(IFERROR(VLOOKUP(LOWER(SUBSTITUTE(E227,"*","")),Parameters!$E$2:$F$5,2,FALSE),0),IFERROR(VLOOKUP(LOWER(SUBSTITUTE(G227,"*","")),Parameters!$E$2:$F$5,2,FALSE),0))</f>
        <v>3</v>
      </c>
      <c r="I227" t="s">
        <v>63</v>
      </c>
    </row>
    <row r="228" spans="1:9">
      <c r="A228" t="s">
        <v>316</v>
      </c>
      <c r="B228" t="s">
        <v>185</v>
      </c>
      <c r="C228">
        <v>0</v>
      </c>
      <c r="D228">
        <v>1</v>
      </c>
      <c r="E228" t="s">
        <v>83</v>
      </c>
      <c r="F228">
        <v>0</v>
      </c>
      <c r="G228" t="s">
        <v>54</v>
      </c>
      <c r="H228">
        <f>MAX(IFERROR(VLOOKUP(LOWER(SUBSTITUTE(E228,"*","")),Parameters!$E$2:$F$5,2,FALSE),0),IFERROR(VLOOKUP(LOWER(SUBSTITUTE(G228,"*","")),Parameters!$E$2:$F$5,2,FALSE),0))</f>
        <v>2</v>
      </c>
      <c r="I228" t="s">
        <v>63</v>
      </c>
    </row>
    <row r="229" spans="1:9">
      <c r="A229" t="s">
        <v>317</v>
      </c>
      <c r="B229" t="s">
        <v>52</v>
      </c>
      <c r="C229">
        <v>0</v>
      </c>
      <c r="D229">
        <v>0</v>
      </c>
      <c r="E229" t="s">
        <v>53</v>
      </c>
      <c r="F229">
        <v>0</v>
      </c>
      <c r="G229" t="s">
        <v>53</v>
      </c>
      <c r="H229">
        <f>MAX(IFERROR(VLOOKUP(LOWER(SUBSTITUTE(E229,"*","")),Parameters!$E$2:$F$5,2,FALSE),0),IFERROR(VLOOKUP(LOWER(SUBSTITUTE(G229,"*","")),Parameters!$E$2:$F$5,2,FALSE),0))</f>
        <v>0</v>
      </c>
      <c r="I229" t="s">
        <v>55</v>
      </c>
    </row>
    <row r="230" spans="1:9">
      <c r="A230" t="s">
        <v>318</v>
      </c>
      <c r="B230" t="s">
        <v>52</v>
      </c>
      <c r="C230">
        <v>0</v>
      </c>
      <c r="D230">
        <v>0</v>
      </c>
      <c r="E230" t="s">
        <v>53</v>
      </c>
      <c r="F230">
        <v>0</v>
      </c>
      <c r="G230" t="s">
        <v>53</v>
      </c>
      <c r="H230">
        <f>MAX(IFERROR(VLOOKUP(LOWER(SUBSTITUTE(E230,"*","")),Parameters!$E$2:$F$5,2,FALSE),0),IFERROR(VLOOKUP(LOWER(SUBSTITUTE(G230,"*","")),Parameters!$E$2:$F$5,2,FALSE),0))</f>
        <v>0</v>
      </c>
      <c r="I230" t="s">
        <v>55</v>
      </c>
    </row>
    <row r="231" spans="1:9">
      <c r="A231" t="s">
        <v>319</v>
      </c>
      <c r="B231" t="s">
        <v>52</v>
      </c>
      <c r="C231">
        <v>0</v>
      </c>
      <c r="D231">
        <v>0</v>
      </c>
      <c r="E231" t="s">
        <v>53</v>
      </c>
      <c r="F231">
        <v>0</v>
      </c>
      <c r="G231" t="s">
        <v>53</v>
      </c>
      <c r="H231">
        <f>MAX(IFERROR(VLOOKUP(LOWER(SUBSTITUTE(E231,"*","")),Parameters!$E$2:$F$5,2,FALSE),0),IFERROR(VLOOKUP(LOWER(SUBSTITUTE(G231,"*","")),Parameters!$E$2:$F$5,2,FALSE),0))</f>
        <v>0</v>
      </c>
      <c r="I231" t="s">
        <v>55</v>
      </c>
    </row>
    <row r="232" spans="1:9">
      <c r="A232" t="s">
        <v>320</v>
      </c>
      <c r="B232" t="s">
        <v>321</v>
      </c>
      <c r="C232">
        <v>0</v>
      </c>
      <c r="D232">
        <v>1</v>
      </c>
      <c r="E232" t="s">
        <v>86</v>
      </c>
      <c r="F232">
        <v>0</v>
      </c>
      <c r="G232" t="s">
        <v>54</v>
      </c>
      <c r="H232">
        <f>MAX(IFERROR(VLOOKUP(LOWER(SUBSTITUTE(E232,"*","")),Parameters!$E$2:$F$5,2,FALSE),0),IFERROR(VLOOKUP(LOWER(SUBSTITUTE(G232,"*","")),Parameters!$E$2:$F$5,2,FALSE),0))</f>
        <v>3</v>
      </c>
      <c r="I232" t="s">
        <v>63</v>
      </c>
    </row>
    <row r="233" spans="1:9">
      <c r="A233" t="s">
        <v>322</v>
      </c>
      <c r="B233" t="s">
        <v>52</v>
      </c>
      <c r="C233">
        <v>0</v>
      </c>
      <c r="D233">
        <v>0</v>
      </c>
      <c r="E233" t="s">
        <v>53</v>
      </c>
      <c r="F233">
        <v>0</v>
      </c>
      <c r="G233" t="s">
        <v>53</v>
      </c>
      <c r="H233">
        <f>MAX(IFERROR(VLOOKUP(LOWER(SUBSTITUTE(E233,"*","")),Parameters!$E$2:$F$5,2,FALSE),0),IFERROR(VLOOKUP(LOWER(SUBSTITUTE(G233,"*","")),Parameters!$E$2:$F$5,2,FALSE),0))</f>
        <v>0</v>
      </c>
      <c r="I233" t="s">
        <v>55</v>
      </c>
    </row>
    <row r="234" spans="1:9">
      <c r="A234" t="s">
        <v>323</v>
      </c>
      <c r="B234" t="s">
        <v>52</v>
      </c>
      <c r="C234">
        <v>0</v>
      </c>
      <c r="D234">
        <v>0</v>
      </c>
      <c r="E234" t="s">
        <v>53</v>
      </c>
      <c r="F234">
        <v>0</v>
      </c>
      <c r="G234" t="s">
        <v>53</v>
      </c>
      <c r="H234">
        <f>MAX(IFERROR(VLOOKUP(LOWER(SUBSTITUTE(E234,"*","")),Parameters!$E$2:$F$5,2,FALSE),0),IFERROR(VLOOKUP(LOWER(SUBSTITUTE(G234,"*","")),Parameters!$E$2:$F$5,2,FALSE),0))</f>
        <v>0</v>
      </c>
      <c r="I234" t="s">
        <v>55</v>
      </c>
    </row>
    <row r="235" spans="1:9">
      <c r="A235" t="s">
        <v>324</v>
      </c>
      <c r="B235" t="s">
        <v>52</v>
      </c>
      <c r="C235">
        <v>0</v>
      </c>
      <c r="D235">
        <v>0</v>
      </c>
      <c r="E235" t="s">
        <v>53</v>
      </c>
      <c r="F235">
        <v>0</v>
      </c>
      <c r="G235" t="s">
        <v>53</v>
      </c>
      <c r="H235">
        <f>MAX(IFERROR(VLOOKUP(LOWER(SUBSTITUTE(E235,"*","")),Parameters!$E$2:$F$5,2,FALSE),0),IFERROR(VLOOKUP(LOWER(SUBSTITUTE(G235,"*","")),Parameters!$E$2:$F$5,2,FALSE),0))</f>
        <v>0</v>
      </c>
      <c r="I235" t="s">
        <v>55</v>
      </c>
    </row>
    <row r="236" spans="1:9">
      <c r="A236" t="s">
        <v>325</v>
      </c>
      <c r="B236" t="s">
        <v>52</v>
      </c>
      <c r="C236">
        <v>0</v>
      </c>
      <c r="D236">
        <v>0</v>
      </c>
      <c r="E236" t="s">
        <v>53</v>
      </c>
      <c r="F236">
        <v>0</v>
      </c>
      <c r="G236" t="s">
        <v>53</v>
      </c>
      <c r="H236">
        <f>MAX(IFERROR(VLOOKUP(LOWER(SUBSTITUTE(E236,"*","")),Parameters!$E$2:$F$5,2,FALSE),0),IFERROR(VLOOKUP(LOWER(SUBSTITUTE(G236,"*","")),Parameters!$E$2:$F$5,2,FALSE),0))</f>
        <v>0</v>
      </c>
      <c r="I236" t="s">
        <v>55</v>
      </c>
    </row>
    <row r="237" spans="1:9">
      <c r="A237" t="s">
        <v>326</v>
      </c>
      <c r="B237" t="s">
        <v>201</v>
      </c>
      <c r="C237">
        <v>0</v>
      </c>
      <c r="D237">
        <v>0</v>
      </c>
      <c r="E237" t="s">
        <v>54</v>
      </c>
      <c r="F237">
        <v>1</v>
      </c>
      <c r="G237" t="s">
        <v>83</v>
      </c>
      <c r="H237">
        <f>MAX(IFERROR(VLOOKUP(LOWER(SUBSTITUTE(E237,"*","")),Parameters!$E$2:$F$5,2,FALSE),0),IFERROR(VLOOKUP(LOWER(SUBSTITUTE(G237,"*","")),Parameters!$E$2:$F$5,2,FALSE),0))</f>
        <v>2</v>
      </c>
      <c r="I237" t="s">
        <v>63</v>
      </c>
    </row>
    <row r="238" spans="1:9">
      <c r="A238" t="s">
        <v>327</v>
      </c>
      <c r="B238" t="s">
        <v>106</v>
      </c>
      <c r="C238">
        <v>1</v>
      </c>
      <c r="D238">
        <v>1</v>
      </c>
      <c r="E238" t="s">
        <v>83</v>
      </c>
      <c r="F238">
        <v>1</v>
      </c>
      <c r="G238" t="s">
        <v>86</v>
      </c>
      <c r="H238">
        <f>MAX(IFERROR(VLOOKUP(LOWER(SUBSTITUTE(E238,"*","")),Parameters!$E$2:$F$5,2,FALSE),0),IFERROR(VLOOKUP(LOWER(SUBSTITUTE(G238,"*","")),Parameters!$E$2:$F$5,2,FALSE),0))</f>
        <v>3</v>
      </c>
      <c r="I238" t="s">
        <v>63</v>
      </c>
    </row>
    <row r="239" spans="1:9">
      <c r="A239" t="s">
        <v>328</v>
      </c>
      <c r="B239" t="s">
        <v>52</v>
      </c>
      <c r="C239">
        <v>1</v>
      </c>
      <c r="D239">
        <v>0</v>
      </c>
      <c r="E239" t="s">
        <v>54</v>
      </c>
      <c r="F239">
        <v>1</v>
      </c>
      <c r="G239" t="s">
        <v>86</v>
      </c>
      <c r="H239">
        <f>MAX(IFERROR(VLOOKUP(LOWER(SUBSTITUTE(E239,"*","")),Parameters!$E$2:$F$5,2,FALSE),0),IFERROR(VLOOKUP(LOWER(SUBSTITUTE(G239,"*","")),Parameters!$E$2:$F$5,2,FALSE),0))</f>
        <v>3</v>
      </c>
      <c r="I239" t="s">
        <v>55</v>
      </c>
    </row>
    <row r="240" spans="1:9">
      <c r="A240" t="s">
        <v>329</v>
      </c>
      <c r="B240" t="s">
        <v>52</v>
      </c>
      <c r="C240">
        <v>0</v>
      </c>
      <c r="D240">
        <v>0</v>
      </c>
      <c r="E240" t="s">
        <v>53</v>
      </c>
      <c r="F240">
        <v>0</v>
      </c>
      <c r="G240" t="s">
        <v>53</v>
      </c>
      <c r="H240">
        <f>MAX(IFERROR(VLOOKUP(LOWER(SUBSTITUTE(E240,"*","")),Parameters!$E$2:$F$5,2,FALSE),0),IFERROR(VLOOKUP(LOWER(SUBSTITUTE(G240,"*","")),Parameters!$E$2:$F$5,2,FALSE),0))</f>
        <v>0</v>
      </c>
      <c r="I240" t="s">
        <v>55</v>
      </c>
    </row>
    <row r="241" spans="1:9">
      <c r="A241" t="s">
        <v>330</v>
      </c>
      <c r="B241" t="s">
        <v>52</v>
      </c>
      <c r="C241">
        <v>0</v>
      </c>
      <c r="D241">
        <v>0</v>
      </c>
      <c r="E241" t="s">
        <v>53</v>
      </c>
      <c r="F241">
        <v>0</v>
      </c>
      <c r="G241" t="s">
        <v>53</v>
      </c>
      <c r="H241">
        <f>MAX(IFERROR(VLOOKUP(LOWER(SUBSTITUTE(E241,"*","")),Parameters!$E$2:$F$5,2,FALSE),0),IFERROR(VLOOKUP(LOWER(SUBSTITUTE(G241,"*","")),Parameters!$E$2:$F$5,2,FALSE),0))</f>
        <v>0</v>
      </c>
      <c r="I241" t="s">
        <v>55</v>
      </c>
    </row>
    <row r="242" spans="1:9">
      <c r="A242" t="s">
        <v>331</v>
      </c>
      <c r="B242" t="s">
        <v>52</v>
      </c>
      <c r="C242">
        <v>0</v>
      </c>
      <c r="D242">
        <v>0</v>
      </c>
      <c r="E242" t="s">
        <v>53</v>
      </c>
      <c r="F242">
        <v>0</v>
      </c>
      <c r="G242" t="s">
        <v>54</v>
      </c>
      <c r="H242">
        <f>MAX(IFERROR(VLOOKUP(LOWER(SUBSTITUTE(E242,"*","")),Parameters!$E$2:$F$5,2,FALSE),0),IFERROR(VLOOKUP(LOWER(SUBSTITUTE(G242,"*","")),Parameters!$E$2:$F$5,2,FALSE),0))</f>
        <v>1</v>
      </c>
      <c r="I242" t="s">
        <v>55</v>
      </c>
    </row>
    <row r="243" spans="1:9">
      <c r="A243" t="s">
        <v>332</v>
      </c>
      <c r="B243" t="s">
        <v>52</v>
      </c>
      <c r="C243">
        <v>0</v>
      </c>
      <c r="D243">
        <v>0</v>
      </c>
      <c r="E243" t="s">
        <v>53</v>
      </c>
      <c r="F243">
        <v>0</v>
      </c>
      <c r="G243" t="s">
        <v>53</v>
      </c>
      <c r="H243">
        <f>MAX(IFERROR(VLOOKUP(LOWER(SUBSTITUTE(E243,"*","")),Parameters!$E$2:$F$5,2,FALSE),0),IFERROR(VLOOKUP(LOWER(SUBSTITUTE(G243,"*","")),Parameters!$E$2:$F$5,2,FALSE),0))</f>
        <v>0</v>
      </c>
      <c r="I243" t="s">
        <v>55</v>
      </c>
    </row>
    <row r="244" spans="1:9">
      <c r="A244" t="s">
        <v>333</v>
      </c>
      <c r="B244" t="s">
        <v>52</v>
      </c>
      <c r="C244">
        <v>0</v>
      </c>
      <c r="D244">
        <v>0</v>
      </c>
      <c r="E244" t="s">
        <v>53</v>
      </c>
      <c r="F244">
        <v>0</v>
      </c>
      <c r="G244" t="s">
        <v>53</v>
      </c>
      <c r="H244">
        <f>MAX(IFERROR(VLOOKUP(LOWER(SUBSTITUTE(E244,"*","")),Parameters!$E$2:$F$5,2,FALSE),0),IFERROR(VLOOKUP(LOWER(SUBSTITUTE(G244,"*","")),Parameters!$E$2:$F$5,2,FALSE),0))</f>
        <v>0</v>
      </c>
      <c r="I244" t="s">
        <v>55</v>
      </c>
    </row>
    <row r="245" spans="1:9">
      <c r="A245" t="s">
        <v>334</v>
      </c>
      <c r="B245" t="s">
        <v>52</v>
      </c>
      <c r="C245">
        <v>0</v>
      </c>
      <c r="D245">
        <v>0</v>
      </c>
      <c r="E245" t="s">
        <v>53</v>
      </c>
      <c r="F245">
        <v>0</v>
      </c>
      <c r="G245" t="s">
        <v>54</v>
      </c>
      <c r="H245">
        <f>MAX(IFERROR(VLOOKUP(LOWER(SUBSTITUTE(E245,"*","")),Parameters!$E$2:$F$5,2,FALSE),0),IFERROR(VLOOKUP(LOWER(SUBSTITUTE(G245,"*","")),Parameters!$E$2:$F$5,2,FALSE),0))</f>
        <v>1</v>
      </c>
      <c r="I245" t="s">
        <v>55</v>
      </c>
    </row>
    <row r="246" spans="1:9">
      <c r="A246" t="s">
        <v>335</v>
      </c>
      <c r="B246" t="s">
        <v>52</v>
      </c>
      <c r="C246">
        <v>0</v>
      </c>
      <c r="D246">
        <v>0</v>
      </c>
      <c r="E246" t="s">
        <v>53</v>
      </c>
      <c r="F246">
        <v>1</v>
      </c>
      <c r="G246" t="s">
        <v>83</v>
      </c>
      <c r="H246">
        <f>MAX(IFERROR(VLOOKUP(LOWER(SUBSTITUTE(E246,"*","")),Parameters!$E$2:$F$5,2,FALSE),0),IFERROR(VLOOKUP(LOWER(SUBSTITUTE(G246,"*","")),Parameters!$E$2:$F$5,2,FALSE),0))</f>
        <v>2</v>
      </c>
      <c r="I246" t="s">
        <v>55</v>
      </c>
    </row>
    <row r="247" spans="1:9">
      <c r="A247" t="s">
        <v>336</v>
      </c>
      <c r="B247" t="s">
        <v>337</v>
      </c>
      <c r="C247">
        <v>0</v>
      </c>
      <c r="D247">
        <v>0</v>
      </c>
      <c r="E247" t="s">
        <v>54</v>
      </c>
      <c r="F247">
        <v>0</v>
      </c>
      <c r="G247" t="s">
        <v>54</v>
      </c>
      <c r="H247">
        <f>MAX(IFERROR(VLOOKUP(LOWER(SUBSTITUTE(E247,"*","")),Parameters!$E$2:$F$5,2,FALSE),0),IFERROR(VLOOKUP(LOWER(SUBSTITUTE(G247,"*","")),Parameters!$E$2:$F$5,2,FALSE),0))</f>
        <v>1</v>
      </c>
      <c r="I247" t="s">
        <v>63</v>
      </c>
    </row>
    <row r="248" spans="1:9">
      <c r="A248" t="s">
        <v>338</v>
      </c>
      <c r="B248" t="s">
        <v>339</v>
      </c>
      <c r="C248">
        <v>0</v>
      </c>
      <c r="D248">
        <v>0</v>
      </c>
      <c r="E248" t="s">
        <v>53</v>
      </c>
      <c r="F248">
        <v>1</v>
      </c>
      <c r="G248" t="s">
        <v>83</v>
      </c>
      <c r="H248">
        <f>MAX(IFERROR(VLOOKUP(LOWER(SUBSTITUTE(E248,"*","")),Parameters!$E$2:$F$5,2,FALSE),0),IFERROR(VLOOKUP(LOWER(SUBSTITUTE(G248,"*","")),Parameters!$E$2:$F$5,2,FALSE),0))</f>
        <v>2</v>
      </c>
      <c r="I248" t="s">
        <v>63</v>
      </c>
    </row>
    <row r="249" spans="1:9">
      <c r="A249" t="s">
        <v>340</v>
      </c>
      <c r="B249" t="s">
        <v>52</v>
      </c>
      <c r="C249">
        <v>0</v>
      </c>
      <c r="D249">
        <v>0</v>
      </c>
      <c r="E249" t="s">
        <v>53</v>
      </c>
      <c r="F249">
        <v>0</v>
      </c>
      <c r="G249" t="s">
        <v>54</v>
      </c>
      <c r="H249">
        <f>MAX(IFERROR(VLOOKUP(LOWER(SUBSTITUTE(E249,"*","")),Parameters!$E$2:$F$5,2,FALSE),0),IFERROR(VLOOKUP(LOWER(SUBSTITUTE(G249,"*","")),Parameters!$E$2:$F$5,2,FALSE),0))</f>
        <v>1</v>
      </c>
      <c r="I249" t="s">
        <v>55</v>
      </c>
    </row>
    <row r="250" spans="1:9">
      <c r="A250" t="s">
        <v>341</v>
      </c>
      <c r="B250" t="s">
        <v>52</v>
      </c>
      <c r="C250">
        <v>0</v>
      </c>
      <c r="D250">
        <v>0</v>
      </c>
      <c r="E250" t="s">
        <v>53</v>
      </c>
      <c r="F250">
        <v>0</v>
      </c>
      <c r="G250" t="s">
        <v>54</v>
      </c>
      <c r="H250">
        <f>MAX(IFERROR(VLOOKUP(LOWER(SUBSTITUTE(E250,"*","")),Parameters!$E$2:$F$5,2,FALSE),0),IFERROR(VLOOKUP(LOWER(SUBSTITUTE(G250,"*","")),Parameters!$E$2:$F$5,2,FALSE),0))</f>
        <v>1</v>
      </c>
      <c r="I250" t="s">
        <v>55</v>
      </c>
    </row>
    <row r="251" spans="1:9">
      <c r="A251" t="s">
        <v>342</v>
      </c>
      <c r="B251" t="s">
        <v>52</v>
      </c>
      <c r="C251">
        <v>0</v>
      </c>
      <c r="D251">
        <v>0</v>
      </c>
      <c r="E251" t="s">
        <v>53</v>
      </c>
      <c r="F251">
        <v>0</v>
      </c>
      <c r="G251" t="s">
        <v>54</v>
      </c>
      <c r="H251">
        <f>MAX(IFERROR(VLOOKUP(LOWER(SUBSTITUTE(E251,"*","")),Parameters!$E$2:$F$5,2,FALSE),0),IFERROR(VLOOKUP(LOWER(SUBSTITUTE(G251,"*","")),Parameters!$E$2:$F$5,2,FALSE),0))</f>
        <v>1</v>
      </c>
      <c r="I251" t="s">
        <v>55</v>
      </c>
    </row>
    <row r="252" spans="1:9">
      <c r="A252" t="s">
        <v>343</v>
      </c>
      <c r="B252" t="s">
        <v>52</v>
      </c>
      <c r="C252">
        <v>0</v>
      </c>
      <c r="D252">
        <v>0</v>
      </c>
      <c r="E252" t="s">
        <v>53</v>
      </c>
      <c r="F252">
        <v>0</v>
      </c>
      <c r="G252" t="s">
        <v>54</v>
      </c>
      <c r="H252">
        <f>MAX(IFERROR(VLOOKUP(LOWER(SUBSTITUTE(E252,"*","")),Parameters!$E$2:$F$5,2,FALSE),0),IFERROR(VLOOKUP(LOWER(SUBSTITUTE(G252,"*","")),Parameters!$E$2:$F$5,2,FALSE),0))</f>
        <v>1</v>
      </c>
      <c r="I252" t="s">
        <v>55</v>
      </c>
    </row>
    <row r="253" spans="1:9">
      <c r="A253" t="s">
        <v>344</v>
      </c>
      <c r="B253" t="s">
        <v>52</v>
      </c>
      <c r="C253">
        <v>0</v>
      </c>
      <c r="D253">
        <v>0</v>
      </c>
      <c r="E253" t="s">
        <v>53</v>
      </c>
      <c r="F253">
        <v>0</v>
      </c>
      <c r="G253" t="s">
        <v>53</v>
      </c>
      <c r="H253">
        <f>MAX(IFERROR(VLOOKUP(LOWER(SUBSTITUTE(E253,"*","")),Parameters!$E$2:$F$5,2,FALSE),0),IFERROR(VLOOKUP(LOWER(SUBSTITUTE(G253,"*","")),Parameters!$E$2:$F$5,2,FALSE),0))</f>
        <v>0</v>
      </c>
      <c r="I253" t="s">
        <v>55</v>
      </c>
    </row>
    <row r="254" spans="1:9">
      <c r="A254" t="s">
        <v>345</v>
      </c>
      <c r="B254" t="s">
        <v>52</v>
      </c>
      <c r="C254">
        <v>0</v>
      </c>
      <c r="D254">
        <v>0</v>
      </c>
      <c r="E254" t="s">
        <v>53</v>
      </c>
      <c r="F254">
        <v>0</v>
      </c>
      <c r="G254" t="s">
        <v>54</v>
      </c>
      <c r="H254">
        <f>MAX(IFERROR(VLOOKUP(LOWER(SUBSTITUTE(E254,"*","")),Parameters!$E$2:$F$5,2,FALSE),0),IFERROR(VLOOKUP(LOWER(SUBSTITUTE(G254,"*","")),Parameters!$E$2:$F$5,2,FALSE),0))</f>
        <v>1</v>
      </c>
      <c r="I254" t="s">
        <v>55</v>
      </c>
    </row>
    <row r="255" spans="1:9">
      <c r="A255" t="s">
        <v>346</v>
      </c>
      <c r="B255" t="s">
        <v>52</v>
      </c>
      <c r="C255">
        <v>0</v>
      </c>
      <c r="D255">
        <v>0</v>
      </c>
      <c r="E255" t="s">
        <v>53</v>
      </c>
      <c r="F255">
        <v>0</v>
      </c>
      <c r="G255" t="s">
        <v>54</v>
      </c>
      <c r="H255">
        <f>MAX(IFERROR(VLOOKUP(LOWER(SUBSTITUTE(E255,"*","")),Parameters!$E$2:$F$5,2,FALSE),0),IFERROR(VLOOKUP(LOWER(SUBSTITUTE(G255,"*","")),Parameters!$E$2:$F$5,2,FALSE),0))</f>
        <v>1</v>
      </c>
      <c r="I255" t="s">
        <v>55</v>
      </c>
    </row>
    <row r="256" spans="1:9">
      <c r="A256" t="s">
        <v>347</v>
      </c>
      <c r="B256" t="s">
        <v>52</v>
      </c>
      <c r="C256">
        <v>0</v>
      </c>
      <c r="D256">
        <v>0</v>
      </c>
      <c r="E256" t="s">
        <v>53</v>
      </c>
      <c r="F256">
        <v>0</v>
      </c>
      <c r="G256" t="s">
        <v>53</v>
      </c>
      <c r="H256">
        <f>MAX(IFERROR(VLOOKUP(LOWER(SUBSTITUTE(E256,"*","")),Parameters!$E$2:$F$5,2,FALSE),0),IFERROR(VLOOKUP(LOWER(SUBSTITUTE(G256,"*","")),Parameters!$E$2:$F$5,2,FALSE),0))</f>
        <v>0</v>
      </c>
      <c r="I256" t="s">
        <v>55</v>
      </c>
    </row>
    <row r="257" spans="1:9">
      <c r="A257" t="s">
        <v>348</v>
      </c>
      <c r="B257" t="s">
        <v>52</v>
      </c>
      <c r="C257">
        <v>0</v>
      </c>
      <c r="D257">
        <v>0</v>
      </c>
      <c r="E257" t="s">
        <v>53</v>
      </c>
      <c r="F257">
        <v>0</v>
      </c>
      <c r="G257" t="s">
        <v>54</v>
      </c>
      <c r="H257">
        <f>MAX(IFERROR(VLOOKUP(LOWER(SUBSTITUTE(E257,"*","")),Parameters!$E$2:$F$5,2,FALSE),0),IFERROR(VLOOKUP(LOWER(SUBSTITUTE(G257,"*","")),Parameters!$E$2:$F$5,2,FALSE),0))</f>
        <v>1</v>
      </c>
      <c r="I257" t="s">
        <v>55</v>
      </c>
    </row>
    <row r="258" spans="1:9">
      <c r="A258" t="s">
        <v>349</v>
      </c>
      <c r="B258" t="s">
        <v>52</v>
      </c>
      <c r="C258">
        <v>0</v>
      </c>
      <c r="D258">
        <v>0</v>
      </c>
      <c r="E258" t="s">
        <v>53</v>
      </c>
      <c r="F258">
        <v>0</v>
      </c>
      <c r="G258" t="s">
        <v>53</v>
      </c>
      <c r="H258">
        <f>MAX(IFERROR(VLOOKUP(LOWER(SUBSTITUTE(E258,"*","")),Parameters!$E$2:$F$5,2,FALSE),0),IFERROR(VLOOKUP(LOWER(SUBSTITUTE(G258,"*","")),Parameters!$E$2:$F$5,2,FALSE),0))</f>
        <v>0</v>
      </c>
      <c r="I258" t="s">
        <v>55</v>
      </c>
    </row>
    <row r="259" spans="1:9">
      <c r="A259" t="s">
        <v>350</v>
      </c>
      <c r="B259" t="s">
        <v>52</v>
      </c>
      <c r="C259">
        <v>0</v>
      </c>
      <c r="D259">
        <v>0</v>
      </c>
      <c r="E259" t="s">
        <v>54</v>
      </c>
      <c r="F259">
        <v>0</v>
      </c>
      <c r="G259" t="s">
        <v>53</v>
      </c>
      <c r="H259">
        <f>MAX(IFERROR(VLOOKUP(LOWER(SUBSTITUTE(E259,"*","")),Parameters!$E$2:$F$5,2,FALSE),0),IFERROR(VLOOKUP(LOWER(SUBSTITUTE(G259,"*","")),Parameters!$E$2:$F$5,2,FALSE),0))</f>
        <v>1</v>
      </c>
      <c r="I259" t="s">
        <v>55</v>
      </c>
    </row>
    <row r="260" spans="1:9">
      <c r="A260" t="s">
        <v>351</v>
      </c>
      <c r="B260" t="s">
        <v>52</v>
      </c>
      <c r="C260">
        <v>0</v>
      </c>
      <c r="D260">
        <v>0</v>
      </c>
      <c r="E260" t="s">
        <v>53</v>
      </c>
      <c r="F260">
        <v>1</v>
      </c>
      <c r="G260" t="s">
        <v>83</v>
      </c>
      <c r="H260">
        <f>MAX(IFERROR(VLOOKUP(LOWER(SUBSTITUTE(E260,"*","")),Parameters!$E$2:$F$5,2,FALSE),0),IFERROR(VLOOKUP(LOWER(SUBSTITUTE(G260,"*","")),Parameters!$E$2:$F$5,2,FALSE),0))</f>
        <v>2</v>
      </c>
      <c r="I260" t="s">
        <v>55</v>
      </c>
    </row>
    <row r="261" spans="1:9">
      <c r="A261" t="s">
        <v>352</v>
      </c>
      <c r="B261" t="s">
        <v>52</v>
      </c>
      <c r="C261">
        <v>0</v>
      </c>
      <c r="D261">
        <v>0</v>
      </c>
      <c r="E261" t="s">
        <v>53</v>
      </c>
      <c r="F261">
        <v>0</v>
      </c>
      <c r="G261" t="s">
        <v>53</v>
      </c>
      <c r="H261">
        <f>MAX(IFERROR(VLOOKUP(LOWER(SUBSTITUTE(E261,"*","")),Parameters!$E$2:$F$5,2,FALSE),0),IFERROR(VLOOKUP(LOWER(SUBSTITUTE(G261,"*","")),Parameters!$E$2:$F$5,2,FALSE),0))</f>
        <v>0</v>
      </c>
      <c r="I261" t="s">
        <v>55</v>
      </c>
    </row>
    <row r="262" spans="1:9">
      <c r="A262" t="s">
        <v>353</v>
      </c>
      <c r="B262" t="s">
        <v>106</v>
      </c>
      <c r="C262">
        <v>1</v>
      </c>
      <c r="D262">
        <v>0</v>
      </c>
      <c r="E262" t="s">
        <v>53</v>
      </c>
      <c r="F262">
        <v>1</v>
      </c>
      <c r="G262" t="s">
        <v>83</v>
      </c>
      <c r="H262">
        <f>MAX(IFERROR(VLOOKUP(LOWER(SUBSTITUTE(E262,"*","")),Parameters!$E$2:$F$5,2,FALSE),0),IFERROR(VLOOKUP(LOWER(SUBSTITUTE(G262,"*","")),Parameters!$E$2:$F$5,2,FALSE),0))</f>
        <v>2</v>
      </c>
      <c r="I262" t="s">
        <v>63</v>
      </c>
    </row>
    <row r="263" spans="1:9">
      <c r="A263" t="s">
        <v>354</v>
      </c>
      <c r="B263" t="s">
        <v>52</v>
      </c>
      <c r="C263">
        <v>0</v>
      </c>
      <c r="D263">
        <v>0</v>
      </c>
      <c r="E263" t="s">
        <v>53</v>
      </c>
      <c r="F263">
        <v>0</v>
      </c>
      <c r="G263" t="s">
        <v>53</v>
      </c>
      <c r="H263">
        <f>MAX(IFERROR(VLOOKUP(LOWER(SUBSTITUTE(E263,"*","")),Parameters!$E$2:$F$5,2,FALSE),0),IFERROR(VLOOKUP(LOWER(SUBSTITUTE(G263,"*","")),Parameters!$E$2:$F$5,2,FALSE),0))</f>
        <v>0</v>
      </c>
      <c r="I263" t="s">
        <v>55</v>
      </c>
    </row>
    <row r="264" spans="1:9">
      <c r="A264" t="s">
        <v>355</v>
      </c>
      <c r="B264" t="s">
        <v>52</v>
      </c>
      <c r="C264">
        <v>0</v>
      </c>
      <c r="D264">
        <v>0</v>
      </c>
      <c r="E264" t="s">
        <v>54</v>
      </c>
      <c r="F264">
        <v>0</v>
      </c>
      <c r="G264" t="s">
        <v>53</v>
      </c>
      <c r="H264">
        <f>MAX(IFERROR(VLOOKUP(LOWER(SUBSTITUTE(E264,"*","")),Parameters!$E$2:$F$5,2,FALSE),0),IFERROR(VLOOKUP(LOWER(SUBSTITUTE(G264,"*","")),Parameters!$E$2:$F$5,2,FALSE),0))</f>
        <v>1</v>
      </c>
      <c r="I264" t="s">
        <v>55</v>
      </c>
    </row>
    <row r="265" spans="1:9">
      <c r="A265" t="s">
        <v>356</v>
      </c>
      <c r="B265" t="s">
        <v>94</v>
      </c>
      <c r="C265">
        <v>0</v>
      </c>
      <c r="D265">
        <v>0</v>
      </c>
      <c r="E265" t="s">
        <v>53</v>
      </c>
      <c r="F265">
        <v>0</v>
      </c>
      <c r="G265" t="s">
        <v>54</v>
      </c>
      <c r="H265">
        <f>MAX(IFERROR(VLOOKUP(LOWER(SUBSTITUTE(E265,"*","")),Parameters!$E$2:$F$5,2,FALSE),0),IFERROR(VLOOKUP(LOWER(SUBSTITUTE(G265,"*","")),Parameters!$E$2:$F$5,2,FALSE),0))</f>
        <v>1</v>
      </c>
      <c r="I265" t="s">
        <v>63</v>
      </c>
    </row>
    <row r="266" spans="1:9">
      <c r="A266" t="s">
        <v>357</v>
      </c>
      <c r="B266" t="s">
        <v>150</v>
      </c>
      <c r="C266">
        <v>0</v>
      </c>
      <c r="D266">
        <v>0</v>
      </c>
      <c r="E266" t="s">
        <v>53</v>
      </c>
      <c r="F266">
        <v>1</v>
      </c>
      <c r="G266" t="s">
        <v>83</v>
      </c>
      <c r="H266">
        <f>MAX(IFERROR(VLOOKUP(LOWER(SUBSTITUTE(E266,"*","")),Parameters!$E$2:$F$5,2,FALSE),0),IFERROR(VLOOKUP(LOWER(SUBSTITUTE(G266,"*","")),Parameters!$E$2:$F$5,2,FALSE),0))</f>
        <v>2</v>
      </c>
      <c r="I266" t="s">
        <v>63</v>
      </c>
    </row>
    <row r="267" spans="1:9">
      <c r="A267" t="s">
        <v>358</v>
      </c>
      <c r="B267" t="s">
        <v>150</v>
      </c>
      <c r="C267">
        <v>0</v>
      </c>
      <c r="D267">
        <v>0</v>
      </c>
      <c r="E267" t="s">
        <v>53</v>
      </c>
      <c r="F267">
        <v>1</v>
      </c>
      <c r="G267" t="s">
        <v>83</v>
      </c>
      <c r="H267">
        <f>MAX(IFERROR(VLOOKUP(LOWER(SUBSTITUTE(E267,"*","")),Parameters!$E$2:$F$5,2,FALSE),0),IFERROR(VLOOKUP(LOWER(SUBSTITUTE(G267,"*","")),Parameters!$E$2:$F$5,2,FALSE),0))</f>
        <v>2</v>
      </c>
      <c r="I267" t="s">
        <v>63</v>
      </c>
    </row>
    <row r="268" spans="1:9">
      <c r="A268" t="s">
        <v>359</v>
      </c>
      <c r="B268" t="s">
        <v>52</v>
      </c>
      <c r="C268">
        <v>0</v>
      </c>
      <c r="D268">
        <v>0</v>
      </c>
      <c r="E268" t="s">
        <v>53</v>
      </c>
      <c r="F268">
        <v>0</v>
      </c>
      <c r="G268" t="s">
        <v>54</v>
      </c>
      <c r="H268">
        <f>MAX(IFERROR(VLOOKUP(LOWER(SUBSTITUTE(E268,"*","")),Parameters!$E$2:$F$5,2,FALSE),0),IFERROR(VLOOKUP(LOWER(SUBSTITUTE(G268,"*","")),Parameters!$E$2:$F$5,2,FALSE),0))</f>
        <v>1</v>
      </c>
      <c r="I268" t="s">
        <v>55</v>
      </c>
    </row>
    <row r="269" spans="1:9">
      <c r="A269" t="s">
        <v>360</v>
      </c>
      <c r="B269" t="s">
        <v>52</v>
      </c>
      <c r="C269">
        <v>0</v>
      </c>
      <c r="D269">
        <v>0</v>
      </c>
      <c r="E269" t="s">
        <v>53</v>
      </c>
      <c r="F269">
        <v>0</v>
      </c>
      <c r="G269" t="s">
        <v>53</v>
      </c>
      <c r="H269">
        <f>MAX(IFERROR(VLOOKUP(LOWER(SUBSTITUTE(E269,"*","")),Parameters!$E$2:$F$5,2,FALSE),0),IFERROR(VLOOKUP(LOWER(SUBSTITUTE(G269,"*","")),Parameters!$E$2:$F$5,2,FALSE),0))</f>
        <v>0</v>
      </c>
      <c r="I269" t="s">
        <v>55</v>
      </c>
    </row>
    <row r="270" spans="1:9">
      <c r="A270" t="s">
        <v>361</v>
      </c>
      <c r="B270" t="s">
        <v>146</v>
      </c>
      <c r="C270">
        <v>1</v>
      </c>
      <c r="D270">
        <v>1</v>
      </c>
      <c r="E270" t="s">
        <v>86</v>
      </c>
      <c r="F270">
        <v>1</v>
      </c>
      <c r="G270" t="s">
        <v>83</v>
      </c>
      <c r="H270">
        <f>MAX(IFERROR(VLOOKUP(LOWER(SUBSTITUTE(E270,"*","")),Parameters!$E$2:$F$5,2,FALSE),0),IFERROR(VLOOKUP(LOWER(SUBSTITUTE(G270,"*","")),Parameters!$E$2:$F$5,2,FALSE),0))</f>
        <v>3</v>
      </c>
      <c r="I270" t="s">
        <v>63</v>
      </c>
    </row>
    <row r="271" spans="1:9">
      <c r="A271" t="s">
        <v>362</v>
      </c>
      <c r="B271" t="s">
        <v>205</v>
      </c>
      <c r="C271">
        <v>1</v>
      </c>
      <c r="D271">
        <v>1</v>
      </c>
      <c r="E271" t="s">
        <v>86</v>
      </c>
      <c r="F271">
        <v>0</v>
      </c>
      <c r="G271" t="s">
        <v>53</v>
      </c>
      <c r="H271">
        <f>MAX(IFERROR(VLOOKUP(LOWER(SUBSTITUTE(E271,"*","")),Parameters!$E$2:$F$5,2,FALSE),0),IFERROR(VLOOKUP(LOWER(SUBSTITUTE(G271,"*","")),Parameters!$E$2:$F$5,2,FALSE),0))</f>
        <v>3</v>
      </c>
      <c r="I271" t="s">
        <v>63</v>
      </c>
    </row>
    <row r="272" spans="1:9">
      <c r="A272" t="s">
        <v>363</v>
      </c>
      <c r="B272" t="s">
        <v>52</v>
      </c>
      <c r="C272">
        <v>0</v>
      </c>
      <c r="D272">
        <v>0</v>
      </c>
      <c r="E272" t="s">
        <v>53</v>
      </c>
      <c r="F272">
        <v>1</v>
      </c>
      <c r="G272" t="s">
        <v>83</v>
      </c>
      <c r="H272">
        <f>MAX(IFERROR(VLOOKUP(LOWER(SUBSTITUTE(E272,"*","")),Parameters!$E$2:$F$5,2,FALSE),0),IFERROR(VLOOKUP(LOWER(SUBSTITUTE(G272,"*","")),Parameters!$E$2:$F$5,2,FALSE),0))</f>
        <v>2</v>
      </c>
      <c r="I272" t="s">
        <v>55</v>
      </c>
    </row>
    <row r="273" spans="1:9">
      <c r="A273" t="s">
        <v>364</v>
      </c>
      <c r="B273" t="s">
        <v>52</v>
      </c>
      <c r="C273">
        <v>0</v>
      </c>
      <c r="D273">
        <v>0</v>
      </c>
      <c r="E273" t="s">
        <v>53</v>
      </c>
      <c r="F273">
        <v>0</v>
      </c>
      <c r="G273" t="s">
        <v>54</v>
      </c>
      <c r="H273">
        <f>MAX(IFERROR(VLOOKUP(LOWER(SUBSTITUTE(E273,"*","")),Parameters!$E$2:$F$5,2,FALSE),0),IFERROR(VLOOKUP(LOWER(SUBSTITUTE(G273,"*","")),Parameters!$E$2:$F$5,2,FALSE),0))</f>
        <v>1</v>
      </c>
      <c r="I273" t="s">
        <v>55</v>
      </c>
    </row>
    <row r="274" spans="1:9">
      <c r="A274" t="s">
        <v>365</v>
      </c>
      <c r="B274" t="s">
        <v>249</v>
      </c>
      <c r="C274">
        <v>0</v>
      </c>
      <c r="D274">
        <v>0</v>
      </c>
      <c r="E274" t="s">
        <v>53</v>
      </c>
      <c r="F274">
        <v>0</v>
      </c>
      <c r="G274" t="s">
        <v>54</v>
      </c>
      <c r="H274">
        <f>MAX(IFERROR(VLOOKUP(LOWER(SUBSTITUTE(E274,"*","")),Parameters!$E$2:$F$5,2,FALSE),0),IFERROR(VLOOKUP(LOWER(SUBSTITUTE(G274,"*","")),Parameters!$E$2:$F$5,2,FALSE),0))</f>
        <v>1</v>
      </c>
      <c r="I274" t="s">
        <v>63</v>
      </c>
    </row>
    <row r="275" spans="1:9">
      <c r="A275" t="s">
        <v>366</v>
      </c>
      <c r="B275" t="s">
        <v>52</v>
      </c>
      <c r="C275">
        <v>0</v>
      </c>
      <c r="D275">
        <v>0</v>
      </c>
      <c r="E275" t="s">
        <v>53</v>
      </c>
      <c r="F275">
        <v>0</v>
      </c>
      <c r="G275" t="s">
        <v>53</v>
      </c>
      <c r="H275">
        <f>MAX(IFERROR(VLOOKUP(LOWER(SUBSTITUTE(E275,"*","")),Parameters!$E$2:$F$5,2,FALSE),0),IFERROR(VLOOKUP(LOWER(SUBSTITUTE(G275,"*","")),Parameters!$E$2:$F$5,2,FALSE),0))</f>
        <v>0</v>
      </c>
      <c r="I275" t="s">
        <v>55</v>
      </c>
    </row>
    <row r="276" spans="1:9">
      <c r="A276" t="s">
        <v>367</v>
      </c>
      <c r="B276" t="s">
        <v>52</v>
      </c>
      <c r="C276">
        <v>0</v>
      </c>
      <c r="D276">
        <v>0</v>
      </c>
      <c r="E276" t="s">
        <v>53</v>
      </c>
      <c r="F276">
        <v>0</v>
      </c>
      <c r="G276" t="s">
        <v>54</v>
      </c>
      <c r="H276">
        <f>MAX(IFERROR(VLOOKUP(LOWER(SUBSTITUTE(E276,"*","")),Parameters!$E$2:$F$5,2,FALSE),0),IFERROR(VLOOKUP(LOWER(SUBSTITUTE(G276,"*","")),Parameters!$E$2:$F$5,2,FALSE),0))</f>
        <v>1</v>
      </c>
      <c r="I276" t="s">
        <v>55</v>
      </c>
    </row>
    <row r="277" spans="1:9">
      <c r="A277" t="s">
        <v>368</v>
      </c>
      <c r="B277" t="s">
        <v>52</v>
      </c>
      <c r="C277">
        <v>0</v>
      </c>
      <c r="D277">
        <v>0</v>
      </c>
      <c r="E277" t="s">
        <v>54</v>
      </c>
      <c r="F277">
        <v>1</v>
      </c>
      <c r="G277" t="s">
        <v>83</v>
      </c>
      <c r="H277">
        <f>MAX(IFERROR(VLOOKUP(LOWER(SUBSTITUTE(E277,"*","")),Parameters!$E$2:$F$5,2,FALSE),0),IFERROR(VLOOKUP(LOWER(SUBSTITUTE(G277,"*","")),Parameters!$E$2:$F$5,2,FALSE),0))</f>
        <v>2</v>
      </c>
      <c r="I277" t="s">
        <v>55</v>
      </c>
    </row>
    <row r="278" spans="1:9">
      <c r="A278" t="s">
        <v>369</v>
      </c>
      <c r="B278" t="s">
        <v>52</v>
      </c>
      <c r="C278">
        <v>0</v>
      </c>
      <c r="D278">
        <v>0</v>
      </c>
      <c r="E278" t="s">
        <v>53</v>
      </c>
      <c r="F278">
        <v>0</v>
      </c>
      <c r="G278" t="s">
        <v>54</v>
      </c>
      <c r="H278">
        <f>MAX(IFERROR(VLOOKUP(LOWER(SUBSTITUTE(E278,"*","")),Parameters!$E$2:$F$5,2,FALSE),0),IFERROR(VLOOKUP(LOWER(SUBSTITUTE(G278,"*","")),Parameters!$E$2:$F$5,2,FALSE),0))</f>
        <v>1</v>
      </c>
      <c r="I278" t="s">
        <v>55</v>
      </c>
    </row>
    <row r="279" spans="1:9">
      <c r="A279" t="s">
        <v>370</v>
      </c>
      <c r="B279" t="s">
        <v>92</v>
      </c>
      <c r="C279">
        <v>1</v>
      </c>
      <c r="D279">
        <v>1</v>
      </c>
      <c r="E279" t="s">
        <v>86</v>
      </c>
      <c r="F279">
        <v>1</v>
      </c>
      <c r="G279" t="s">
        <v>83</v>
      </c>
      <c r="H279">
        <f>MAX(IFERROR(VLOOKUP(LOWER(SUBSTITUTE(E279,"*","")),Parameters!$E$2:$F$5,2,FALSE),0),IFERROR(VLOOKUP(LOWER(SUBSTITUTE(G279,"*","")),Parameters!$E$2:$F$5,2,FALSE),0))</f>
        <v>3</v>
      </c>
      <c r="I279" t="s">
        <v>63</v>
      </c>
    </row>
    <row r="280" spans="1:9">
      <c r="A280" t="s">
        <v>371</v>
      </c>
      <c r="B280" t="s">
        <v>52</v>
      </c>
      <c r="C280">
        <v>0</v>
      </c>
      <c r="D280">
        <v>0</v>
      </c>
      <c r="E280" t="s">
        <v>53</v>
      </c>
      <c r="F280">
        <v>0</v>
      </c>
      <c r="G280" t="s">
        <v>54</v>
      </c>
      <c r="H280">
        <f>MAX(IFERROR(VLOOKUP(LOWER(SUBSTITUTE(E280,"*","")),Parameters!$E$2:$F$5,2,FALSE),0),IFERROR(VLOOKUP(LOWER(SUBSTITUTE(G280,"*","")),Parameters!$E$2:$F$5,2,FALSE),0))</f>
        <v>1</v>
      </c>
      <c r="I280" t="s">
        <v>55</v>
      </c>
    </row>
    <row r="281" spans="1:9">
      <c r="A281" t="s">
        <v>372</v>
      </c>
      <c r="B281" t="s">
        <v>52</v>
      </c>
      <c r="C281">
        <v>0</v>
      </c>
      <c r="D281">
        <v>0</v>
      </c>
      <c r="E281" t="s">
        <v>53</v>
      </c>
      <c r="F281">
        <v>1</v>
      </c>
      <c r="G281" t="s">
        <v>83</v>
      </c>
      <c r="H281">
        <f>MAX(IFERROR(VLOOKUP(LOWER(SUBSTITUTE(E281,"*","")),Parameters!$E$2:$F$5,2,FALSE),0),IFERROR(VLOOKUP(LOWER(SUBSTITUTE(G281,"*","")),Parameters!$E$2:$F$5,2,FALSE),0))</f>
        <v>2</v>
      </c>
      <c r="I281" t="s">
        <v>55</v>
      </c>
    </row>
    <row r="282" spans="1:9">
      <c r="A282" t="s">
        <v>373</v>
      </c>
      <c r="B282" t="s">
        <v>52</v>
      </c>
      <c r="C282">
        <v>0</v>
      </c>
      <c r="D282">
        <v>0</v>
      </c>
      <c r="E282" t="s">
        <v>53</v>
      </c>
      <c r="F282">
        <v>0</v>
      </c>
      <c r="G282" t="s">
        <v>53</v>
      </c>
      <c r="H282">
        <f>MAX(IFERROR(VLOOKUP(LOWER(SUBSTITUTE(E282,"*","")),Parameters!$E$2:$F$5,2,FALSE),0),IFERROR(VLOOKUP(LOWER(SUBSTITUTE(G282,"*","")),Parameters!$E$2:$F$5,2,FALSE),0))</f>
        <v>0</v>
      </c>
      <c r="I282" t="s">
        <v>55</v>
      </c>
    </row>
    <row r="283" spans="1:9">
      <c r="A283" t="s">
        <v>374</v>
      </c>
      <c r="B283" t="s">
        <v>52</v>
      </c>
      <c r="C283">
        <v>0</v>
      </c>
      <c r="D283">
        <v>0</v>
      </c>
      <c r="E283" t="s">
        <v>53</v>
      </c>
      <c r="F283">
        <v>0</v>
      </c>
      <c r="G283" t="s">
        <v>53</v>
      </c>
      <c r="H283">
        <f>MAX(IFERROR(VLOOKUP(LOWER(SUBSTITUTE(E283,"*","")),Parameters!$E$2:$F$5,2,FALSE),0),IFERROR(VLOOKUP(LOWER(SUBSTITUTE(G283,"*","")),Parameters!$E$2:$F$5,2,FALSE),0))</f>
        <v>0</v>
      </c>
      <c r="I283" t="s">
        <v>55</v>
      </c>
    </row>
    <row r="284" spans="1:9">
      <c r="A284" t="s">
        <v>375</v>
      </c>
      <c r="B284" t="s">
        <v>52</v>
      </c>
      <c r="C284">
        <v>0</v>
      </c>
      <c r="D284">
        <v>0</v>
      </c>
      <c r="E284" t="s">
        <v>53</v>
      </c>
      <c r="F284">
        <v>0</v>
      </c>
      <c r="G284" t="s">
        <v>54</v>
      </c>
      <c r="H284">
        <f>MAX(IFERROR(VLOOKUP(LOWER(SUBSTITUTE(E284,"*","")),Parameters!$E$2:$F$5,2,FALSE),0),IFERROR(VLOOKUP(LOWER(SUBSTITUTE(G284,"*","")),Parameters!$E$2:$F$5,2,FALSE),0))</f>
        <v>1</v>
      </c>
      <c r="I284" t="s">
        <v>55</v>
      </c>
    </row>
    <row r="285" spans="1:9">
      <c r="A285" t="s">
        <v>376</v>
      </c>
      <c r="B285" t="s">
        <v>52</v>
      </c>
      <c r="C285">
        <v>0</v>
      </c>
      <c r="D285">
        <v>0</v>
      </c>
      <c r="E285" t="s">
        <v>53</v>
      </c>
      <c r="F285">
        <v>0</v>
      </c>
      <c r="G285" t="s">
        <v>53</v>
      </c>
      <c r="H285">
        <f>MAX(IFERROR(VLOOKUP(LOWER(SUBSTITUTE(E285,"*","")),Parameters!$E$2:$F$5,2,FALSE),0),IFERROR(VLOOKUP(LOWER(SUBSTITUTE(G285,"*","")),Parameters!$E$2:$F$5,2,FALSE),0))</f>
        <v>0</v>
      </c>
      <c r="I285" t="s">
        <v>55</v>
      </c>
    </row>
    <row r="286" spans="1:9">
      <c r="A286" t="s">
        <v>377</v>
      </c>
      <c r="B286" t="s">
        <v>52</v>
      </c>
      <c r="C286">
        <v>0</v>
      </c>
      <c r="D286">
        <v>0</v>
      </c>
      <c r="E286" t="s">
        <v>53</v>
      </c>
      <c r="F286">
        <v>0</v>
      </c>
      <c r="G286" t="s">
        <v>53</v>
      </c>
      <c r="H286">
        <f>MAX(IFERROR(VLOOKUP(LOWER(SUBSTITUTE(E286,"*","")),Parameters!$E$2:$F$5,2,FALSE),0),IFERROR(VLOOKUP(LOWER(SUBSTITUTE(G286,"*","")),Parameters!$E$2:$F$5,2,FALSE),0))</f>
        <v>0</v>
      </c>
      <c r="I286" t="s">
        <v>55</v>
      </c>
    </row>
    <row r="287" spans="1:9">
      <c r="A287" t="s">
        <v>378</v>
      </c>
      <c r="B287" t="s">
        <v>52</v>
      </c>
      <c r="C287">
        <v>0</v>
      </c>
      <c r="D287">
        <v>0</v>
      </c>
      <c r="E287" t="s">
        <v>54</v>
      </c>
      <c r="F287">
        <v>0</v>
      </c>
      <c r="G287" t="s">
        <v>53</v>
      </c>
      <c r="H287">
        <f>MAX(IFERROR(VLOOKUP(LOWER(SUBSTITUTE(E287,"*","")),Parameters!$E$2:$F$5,2,FALSE),0),IFERROR(VLOOKUP(LOWER(SUBSTITUTE(G287,"*","")),Parameters!$E$2:$F$5,2,FALSE),0))</f>
        <v>1</v>
      </c>
      <c r="I287" t="s">
        <v>55</v>
      </c>
    </row>
    <row r="288" spans="1:9">
      <c r="A288" t="s">
        <v>379</v>
      </c>
      <c r="B288" t="s">
        <v>52</v>
      </c>
      <c r="C288">
        <v>0</v>
      </c>
      <c r="D288">
        <v>0</v>
      </c>
      <c r="E288" t="s">
        <v>53</v>
      </c>
      <c r="F288">
        <v>0</v>
      </c>
      <c r="G288" t="s">
        <v>54</v>
      </c>
      <c r="H288">
        <f>MAX(IFERROR(VLOOKUP(LOWER(SUBSTITUTE(E288,"*","")),Parameters!$E$2:$F$5,2,FALSE),0),IFERROR(VLOOKUP(LOWER(SUBSTITUTE(G288,"*","")),Parameters!$E$2:$F$5,2,FALSE),0))</f>
        <v>1</v>
      </c>
      <c r="I288" t="s">
        <v>55</v>
      </c>
    </row>
    <row r="289" spans="1:9">
      <c r="A289" t="s">
        <v>380</v>
      </c>
      <c r="B289" t="s">
        <v>52</v>
      </c>
      <c r="C289">
        <v>0</v>
      </c>
      <c r="D289">
        <v>0</v>
      </c>
      <c r="E289" t="s">
        <v>53</v>
      </c>
      <c r="F289">
        <v>0</v>
      </c>
      <c r="G289" t="s">
        <v>54</v>
      </c>
      <c r="H289">
        <f>MAX(IFERROR(VLOOKUP(LOWER(SUBSTITUTE(E289,"*","")),Parameters!$E$2:$F$5,2,FALSE),0),IFERROR(VLOOKUP(LOWER(SUBSTITUTE(G289,"*","")),Parameters!$E$2:$F$5,2,FALSE),0))</f>
        <v>1</v>
      </c>
      <c r="I289" t="s">
        <v>55</v>
      </c>
    </row>
    <row r="290" spans="1:9">
      <c r="A290" t="s">
        <v>381</v>
      </c>
      <c r="B290" t="s">
        <v>52</v>
      </c>
      <c r="C290">
        <v>0</v>
      </c>
      <c r="D290">
        <v>0</v>
      </c>
      <c r="E290" t="s">
        <v>53</v>
      </c>
      <c r="F290">
        <v>0</v>
      </c>
      <c r="G290" t="s">
        <v>54</v>
      </c>
      <c r="H290">
        <f>MAX(IFERROR(VLOOKUP(LOWER(SUBSTITUTE(E290,"*","")),Parameters!$E$2:$F$5,2,FALSE),0),IFERROR(VLOOKUP(LOWER(SUBSTITUTE(G290,"*","")),Parameters!$E$2:$F$5,2,FALSE),0))</f>
        <v>1</v>
      </c>
      <c r="I290" t="s">
        <v>55</v>
      </c>
    </row>
    <row r="291" spans="1:9">
      <c r="A291" t="s">
        <v>382</v>
      </c>
      <c r="B291" t="s">
        <v>52</v>
      </c>
      <c r="C291">
        <v>0</v>
      </c>
      <c r="D291">
        <v>0</v>
      </c>
      <c r="E291" t="s">
        <v>53</v>
      </c>
      <c r="F291">
        <v>1</v>
      </c>
      <c r="G291" t="s">
        <v>83</v>
      </c>
      <c r="H291">
        <f>MAX(IFERROR(VLOOKUP(LOWER(SUBSTITUTE(E291,"*","")),Parameters!$E$2:$F$5,2,FALSE),0),IFERROR(VLOOKUP(LOWER(SUBSTITUTE(G291,"*","")),Parameters!$E$2:$F$5,2,FALSE),0))</f>
        <v>2</v>
      </c>
      <c r="I291" t="s">
        <v>55</v>
      </c>
    </row>
    <row r="292" spans="1:9">
      <c r="A292" t="s">
        <v>383</v>
      </c>
      <c r="B292" t="s">
        <v>52</v>
      </c>
      <c r="C292">
        <v>0</v>
      </c>
      <c r="D292">
        <v>0</v>
      </c>
      <c r="E292" t="s">
        <v>53</v>
      </c>
      <c r="F292">
        <v>0</v>
      </c>
      <c r="G292" t="s">
        <v>53</v>
      </c>
      <c r="H292">
        <f>MAX(IFERROR(VLOOKUP(LOWER(SUBSTITUTE(E292,"*","")),Parameters!$E$2:$F$5,2,FALSE),0),IFERROR(VLOOKUP(LOWER(SUBSTITUTE(G292,"*","")),Parameters!$E$2:$F$5,2,FALSE),0))</f>
        <v>0</v>
      </c>
      <c r="I292" t="s">
        <v>55</v>
      </c>
    </row>
    <row r="293" spans="1:9">
      <c r="A293" t="s">
        <v>384</v>
      </c>
      <c r="B293" t="s">
        <v>52</v>
      </c>
      <c r="C293">
        <v>0</v>
      </c>
      <c r="D293">
        <v>0</v>
      </c>
      <c r="E293" t="s">
        <v>53</v>
      </c>
      <c r="F293">
        <v>0</v>
      </c>
      <c r="G293" t="s">
        <v>53</v>
      </c>
      <c r="H293">
        <f>MAX(IFERROR(VLOOKUP(LOWER(SUBSTITUTE(E293,"*","")),Parameters!$E$2:$F$5,2,FALSE),0),IFERROR(VLOOKUP(LOWER(SUBSTITUTE(G293,"*","")),Parameters!$E$2:$F$5,2,FALSE),0))</f>
        <v>0</v>
      </c>
      <c r="I293" t="s">
        <v>55</v>
      </c>
    </row>
    <row r="294" spans="1:9">
      <c r="A294" t="s">
        <v>385</v>
      </c>
      <c r="B294" t="s">
        <v>52</v>
      </c>
      <c r="C294">
        <v>0</v>
      </c>
      <c r="D294">
        <v>0</v>
      </c>
      <c r="E294" t="s">
        <v>53</v>
      </c>
      <c r="F294">
        <v>0</v>
      </c>
      <c r="G294" t="s">
        <v>53</v>
      </c>
      <c r="H294">
        <f>MAX(IFERROR(VLOOKUP(LOWER(SUBSTITUTE(E294,"*","")),Parameters!$E$2:$F$5,2,FALSE),0),IFERROR(VLOOKUP(LOWER(SUBSTITUTE(G294,"*","")),Parameters!$E$2:$F$5,2,FALSE),0))</f>
        <v>0</v>
      </c>
      <c r="I294" t="s">
        <v>55</v>
      </c>
    </row>
    <row r="295" spans="1:9">
      <c r="A295" t="s">
        <v>386</v>
      </c>
      <c r="B295" t="s">
        <v>52</v>
      </c>
      <c r="C295">
        <v>0</v>
      </c>
      <c r="D295">
        <v>0</v>
      </c>
      <c r="E295" t="s">
        <v>53</v>
      </c>
      <c r="F295">
        <v>0</v>
      </c>
      <c r="G295" t="s">
        <v>53</v>
      </c>
      <c r="H295">
        <f>MAX(IFERROR(VLOOKUP(LOWER(SUBSTITUTE(E295,"*","")),Parameters!$E$2:$F$5,2,FALSE),0),IFERROR(VLOOKUP(LOWER(SUBSTITUTE(G295,"*","")),Parameters!$E$2:$F$5,2,FALSE),0))</f>
        <v>0</v>
      </c>
      <c r="I295" t="s">
        <v>55</v>
      </c>
    </row>
    <row r="296" spans="1:9">
      <c r="A296" t="s">
        <v>387</v>
      </c>
      <c r="B296" t="s">
        <v>165</v>
      </c>
      <c r="C296">
        <v>0</v>
      </c>
      <c r="D296">
        <v>0</v>
      </c>
      <c r="E296" t="s">
        <v>53</v>
      </c>
      <c r="F296">
        <v>1</v>
      </c>
      <c r="G296" t="s">
        <v>83</v>
      </c>
      <c r="H296">
        <f>MAX(IFERROR(VLOOKUP(LOWER(SUBSTITUTE(E296,"*","")),Parameters!$E$2:$F$5,2,FALSE),0),IFERROR(VLOOKUP(LOWER(SUBSTITUTE(G296,"*","")),Parameters!$E$2:$F$5,2,FALSE),0))</f>
        <v>2</v>
      </c>
      <c r="I296" t="s">
        <v>63</v>
      </c>
    </row>
    <row r="297" spans="1:9">
      <c r="A297" t="s">
        <v>388</v>
      </c>
      <c r="B297" t="s">
        <v>52</v>
      </c>
      <c r="C297">
        <v>0</v>
      </c>
      <c r="D297">
        <v>0</v>
      </c>
      <c r="E297" t="s">
        <v>53</v>
      </c>
      <c r="F297">
        <v>0</v>
      </c>
      <c r="G297" t="s">
        <v>53</v>
      </c>
      <c r="H297">
        <f>MAX(IFERROR(VLOOKUP(LOWER(SUBSTITUTE(E297,"*","")),Parameters!$E$2:$F$5,2,FALSE),0),IFERROR(VLOOKUP(LOWER(SUBSTITUTE(G297,"*","")),Parameters!$E$2:$F$5,2,FALSE),0))</f>
        <v>0</v>
      </c>
      <c r="I297" t="s">
        <v>55</v>
      </c>
    </row>
    <row r="298" spans="1:9">
      <c r="A298" t="s">
        <v>389</v>
      </c>
      <c r="B298" t="s">
        <v>52</v>
      </c>
      <c r="C298">
        <v>0</v>
      </c>
      <c r="D298">
        <v>0</v>
      </c>
      <c r="E298" t="s">
        <v>54</v>
      </c>
      <c r="F298">
        <v>0</v>
      </c>
      <c r="G298" t="s">
        <v>54</v>
      </c>
      <c r="H298">
        <f>MAX(IFERROR(VLOOKUP(LOWER(SUBSTITUTE(E298,"*","")),Parameters!$E$2:$F$5,2,FALSE),0),IFERROR(VLOOKUP(LOWER(SUBSTITUTE(G298,"*","")),Parameters!$E$2:$F$5,2,FALSE),0))</f>
        <v>1</v>
      </c>
      <c r="I298" t="s">
        <v>55</v>
      </c>
    </row>
    <row r="299" spans="1:9">
      <c r="A299" t="s">
        <v>390</v>
      </c>
      <c r="B299" t="s">
        <v>52</v>
      </c>
      <c r="C299">
        <v>0</v>
      </c>
      <c r="D299">
        <v>0</v>
      </c>
      <c r="E299" t="s">
        <v>53</v>
      </c>
      <c r="F299">
        <v>0</v>
      </c>
      <c r="G299" t="s">
        <v>54</v>
      </c>
      <c r="H299">
        <f>MAX(IFERROR(VLOOKUP(LOWER(SUBSTITUTE(E299,"*","")),Parameters!$E$2:$F$5,2,FALSE),0),IFERROR(VLOOKUP(LOWER(SUBSTITUTE(G299,"*","")),Parameters!$E$2:$F$5,2,FALSE),0))</f>
        <v>1</v>
      </c>
      <c r="I299" t="s">
        <v>55</v>
      </c>
    </row>
    <row r="300" spans="1:9">
      <c r="A300" t="s">
        <v>391</v>
      </c>
      <c r="B300" t="s">
        <v>52</v>
      </c>
      <c r="C300">
        <v>0</v>
      </c>
      <c r="D300">
        <v>0</v>
      </c>
      <c r="E300" t="s">
        <v>53</v>
      </c>
      <c r="F300">
        <v>0</v>
      </c>
      <c r="G300" t="s">
        <v>54</v>
      </c>
      <c r="H300">
        <f>MAX(IFERROR(VLOOKUP(LOWER(SUBSTITUTE(E300,"*","")),Parameters!$E$2:$F$5,2,FALSE),0),IFERROR(VLOOKUP(LOWER(SUBSTITUTE(G300,"*","")),Parameters!$E$2:$F$5,2,FALSE),0))</f>
        <v>1</v>
      </c>
      <c r="I300" t="s">
        <v>55</v>
      </c>
    </row>
    <row r="301" spans="1:9">
      <c r="A301" t="s">
        <v>392</v>
      </c>
      <c r="B301" t="s">
        <v>165</v>
      </c>
      <c r="C301">
        <v>0</v>
      </c>
      <c r="D301">
        <v>0</v>
      </c>
      <c r="E301" t="s">
        <v>53</v>
      </c>
      <c r="F301">
        <v>1</v>
      </c>
      <c r="G301" t="s">
        <v>83</v>
      </c>
      <c r="H301">
        <f>MAX(IFERROR(VLOOKUP(LOWER(SUBSTITUTE(E301,"*","")),Parameters!$E$2:$F$5,2,FALSE),0),IFERROR(VLOOKUP(LOWER(SUBSTITUTE(G301,"*","")),Parameters!$E$2:$F$5,2,FALSE),0))</f>
        <v>2</v>
      </c>
      <c r="I301" t="s">
        <v>63</v>
      </c>
    </row>
    <row r="302" spans="1:9">
      <c r="A302" t="s">
        <v>393</v>
      </c>
      <c r="B302" t="s">
        <v>52</v>
      </c>
      <c r="C302">
        <v>0</v>
      </c>
      <c r="D302">
        <v>0</v>
      </c>
      <c r="E302" t="s">
        <v>53</v>
      </c>
      <c r="F302">
        <v>0</v>
      </c>
      <c r="G302" t="s">
        <v>53</v>
      </c>
      <c r="H302">
        <f>MAX(IFERROR(VLOOKUP(LOWER(SUBSTITUTE(E302,"*","")),Parameters!$E$2:$F$5,2,FALSE),0),IFERROR(VLOOKUP(LOWER(SUBSTITUTE(G302,"*","")),Parameters!$E$2:$F$5,2,FALSE),0))</f>
        <v>0</v>
      </c>
      <c r="I302" t="s">
        <v>55</v>
      </c>
    </row>
    <row r="303" spans="1:9">
      <c r="A303" t="s">
        <v>394</v>
      </c>
      <c r="B303" t="s">
        <v>52</v>
      </c>
      <c r="C303">
        <v>0</v>
      </c>
      <c r="D303">
        <v>0</v>
      </c>
      <c r="E303" t="s">
        <v>54</v>
      </c>
      <c r="F303">
        <v>0</v>
      </c>
      <c r="G303" t="s">
        <v>54</v>
      </c>
      <c r="H303">
        <f>MAX(IFERROR(VLOOKUP(LOWER(SUBSTITUTE(E303,"*","")),Parameters!$E$2:$F$5,2,FALSE),0),IFERROR(VLOOKUP(LOWER(SUBSTITUTE(G303,"*","")),Parameters!$E$2:$F$5,2,FALSE),0))</f>
        <v>1</v>
      </c>
      <c r="I303" t="s">
        <v>55</v>
      </c>
    </row>
    <row r="304" spans="1:9">
      <c r="A304" t="s">
        <v>395</v>
      </c>
      <c r="B304" t="s">
        <v>52</v>
      </c>
      <c r="C304">
        <v>0</v>
      </c>
      <c r="D304">
        <v>0</v>
      </c>
      <c r="E304" t="s">
        <v>53</v>
      </c>
      <c r="F304">
        <v>0</v>
      </c>
      <c r="G304" t="s">
        <v>54</v>
      </c>
      <c r="H304">
        <f>MAX(IFERROR(VLOOKUP(LOWER(SUBSTITUTE(E304,"*","")),Parameters!$E$2:$F$5,2,FALSE),0),IFERROR(VLOOKUP(LOWER(SUBSTITUTE(G304,"*","")),Parameters!$E$2:$F$5,2,FALSE),0))</f>
        <v>1</v>
      </c>
      <c r="I304" t="s">
        <v>55</v>
      </c>
    </row>
    <row r="305" spans="1:9">
      <c r="A305" t="s">
        <v>396</v>
      </c>
      <c r="B305" t="s">
        <v>52</v>
      </c>
      <c r="C305">
        <v>0</v>
      </c>
      <c r="D305">
        <v>0</v>
      </c>
      <c r="E305" t="s">
        <v>53</v>
      </c>
      <c r="F305">
        <v>0</v>
      </c>
      <c r="G305" t="s">
        <v>54</v>
      </c>
      <c r="H305">
        <f>MAX(IFERROR(VLOOKUP(LOWER(SUBSTITUTE(E305,"*","")),Parameters!$E$2:$F$5,2,FALSE),0),IFERROR(VLOOKUP(LOWER(SUBSTITUTE(G305,"*","")),Parameters!$E$2:$F$5,2,FALSE),0))</f>
        <v>1</v>
      </c>
      <c r="I305" t="s">
        <v>55</v>
      </c>
    </row>
    <row r="306" spans="1:9">
      <c r="A306" t="s">
        <v>397</v>
      </c>
      <c r="B306" t="s">
        <v>398</v>
      </c>
      <c r="C306">
        <v>0</v>
      </c>
      <c r="D306">
        <v>0</v>
      </c>
      <c r="E306" t="s">
        <v>53</v>
      </c>
      <c r="F306">
        <v>0</v>
      </c>
      <c r="G306" t="s">
        <v>53</v>
      </c>
      <c r="H306">
        <f>MAX(IFERROR(VLOOKUP(LOWER(SUBSTITUTE(E306,"*","")),Parameters!$E$2:$F$5,2,FALSE),0),IFERROR(VLOOKUP(LOWER(SUBSTITUTE(G306,"*","")),Parameters!$E$2:$F$5,2,FALSE),0))</f>
        <v>0</v>
      </c>
      <c r="I306" t="s">
        <v>63</v>
      </c>
    </row>
    <row r="307" spans="1:9">
      <c r="A307" t="s">
        <v>399</v>
      </c>
      <c r="B307" t="s">
        <v>52</v>
      </c>
      <c r="C307">
        <v>0</v>
      </c>
      <c r="D307">
        <v>0</v>
      </c>
      <c r="E307" t="s">
        <v>53</v>
      </c>
      <c r="F307">
        <v>0</v>
      </c>
      <c r="G307" t="s">
        <v>53</v>
      </c>
      <c r="H307">
        <f>MAX(IFERROR(VLOOKUP(LOWER(SUBSTITUTE(E307,"*","")),Parameters!$E$2:$F$5,2,FALSE),0),IFERROR(VLOOKUP(LOWER(SUBSTITUTE(G307,"*","")),Parameters!$E$2:$F$5,2,FALSE),0))</f>
        <v>0</v>
      </c>
      <c r="I307" t="s">
        <v>55</v>
      </c>
    </row>
    <row r="308" spans="1:9">
      <c r="A308" t="s">
        <v>400</v>
      </c>
      <c r="B308" t="s">
        <v>52</v>
      </c>
      <c r="C308">
        <v>0</v>
      </c>
      <c r="D308">
        <v>0</v>
      </c>
      <c r="E308" t="s">
        <v>53</v>
      </c>
      <c r="F308">
        <v>0</v>
      </c>
      <c r="G308" t="s">
        <v>53</v>
      </c>
      <c r="H308">
        <f>MAX(IFERROR(VLOOKUP(LOWER(SUBSTITUTE(E308,"*","")),Parameters!$E$2:$F$5,2,FALSE),0),IFERROR(VLOOKUP(LOWER(SUBSTITUTE(G308,"*","")),Parameters!$E$2:$F$5,2,FALSE),0))</f>
        <v>0</v>
      </c>
      <c r="I308" t="s">
        <v>55</v>
      </c>
    </row>
    <row r="309" spans="1:9">
      <c r="A309" t="s">
        <v>401</v>
      </c>
      <c r="B309" t="s">
        <v>94</v>
      </c>
      <c r="C309">
        <v>0</v>
      </c>
      <c r="D309">
        <v>0</v>
      </c>
      <c r="E309" t="s">
        <v>53</v>
      </c>
      <c r="F309">
        <v>0</v>
      </c>
      <c r="G309" t="s">
        <v>54</v>
      </c>
      <c r="H309">
        <f>MAX(IFERROR(VLOOKUP(LOWER(SUBSTITUTE(E309,"*","")),Parameters!$E$2:$F$5,2,FALSE),0),IFERROR(VLOOKUP(LOWER(SUBSTITUTE(G309,"*","")),Parameters!$E$2:$F$5,2,FALSE),0))</f>
        <v>1</v>
      </c>
      <c r="I309" t="s">
        <v>63</v>
      </c>
    </row>
    <row r="310" spans="1:9">
      <c r="A310" t="s">
        <v>402</v>
      </c>
      <c r="B310" t="s">
        <v>403</v>
      </c>
      <c r="C310">
        <v>0</v>
      </c>
      <c r="D310">
        <v>0</v>
      </c>
      <c r="E310" t="s">
        <v>54</v>
      </c>
      <c r="F310">
        <v>1</v>
      </c>
      <c r="G310" t="s">
        <v>86</v>
      </c>
      <c r="H310">
        <f>MAX(IFERROR(VLOOKUP(LOWER(SUBSTITUTE(E310,"*","")),Parameters!$E$2:$F$5,2,FALSE),0),IFERROR(VLOOKUP(LOWER(SUBSTITUTE(G310,"*","")),Parameters!$E$2:$F$5,2,FALSE),0))</f>
        <v>3</v>
      </c>
      <c r="I310" t="s">
        <v>63</v>
      </c>
    </row>
    <row r="311" spans="1:9">
      <c r="A311" t="s">
        <v>404</v>
      </c>
      <c r="B311" t="s">
        <v>52</v>
      </c>
      <c r="C311">
        <v>0</v>
      </c>
      <c r="D311">
        <v>0</v>
      </c>
      <c r="E311" t="s">
        <v>53</v>
      </c>
      <c r="F311">
        <v>0</v>
      </c>
      <c r="G311" t="s">
        <v>54</v>
      </c>
      <c r="H311">
        <f>MAX(IFERROR(VLOOKUP(LOWER(SUBSTITUTE(E311,"*","")),Parameters!$E$2:$F$5,2,FALSE),0),IFERROR(VLOOKUP(LOWER(SUBSTITUTE(G311,"*","")),Parameters!$E$2:$F$5,2,FALSE),0))</f>
        <v>1</v>
      </c>
      <c r="I311" t="s">
        <v>55</v>
      </c>
    </row>
    <row r="312" spans="1:9">
      <c r="A312" t="s">
        <v>405</v>
      </c>
      <c r="B312" t="s">
        <v>185</v>
      </c>
      <c r="C312">
        <v>0</v>
      </c>
      <c r="D312">
        <v>0</v>
      </c>
      <c r="E312" t="s">
        <v>54</v>
      </c>
      <c r="F312">
        <v>0</v>
      </c>
      <c r="G312" t="s">
        <v>54</v>
      </c>
      <c r="H312">
        <f>MAX(IFERROR(VLOOKUP(LOWER(SUBSTITUTE(E312,"*","")),Parameters!$E$2:$F$5,2,FALSE),0),IFERROR(VLOOKUP(LOWER(SUBSTITUTE(G312,"*","")),Parameters!$E$2:$F$5,2,FALSE),0))</f>
        <v>1</v>
      </c>
      <c r="I312" t="s">
        <v>63</v>
      </c>
    </row>
    <row r="313" spans="1:9">
      <c r="A313" t="s">
        <v>406</v>
      </c>
      <c r="B313" t="s">
        <v>85</v>
      </c>
      <c r="C313">
        <v>1</v>
      </c>
      <c r="D313">
        <v>0</v>
      </c>
      <c r="E313" t="s">
        <v>54</v>
      </c>
      <c r="F313">
        <v>1</v>
      </c>
      <c r="G313" t="s">
        <v>86</v>
      </c>
      <c r="H313">
        <f>MAX(IFERROR(VLOOKUP(LOWER(SUBSTITUTE(E313,"*","")),Parameters!$E$2:$F$5,2,FALSE),0),IFERROR(VLOOKUP(LOWER(SUBSTITUTE(G313,"*","")),Parameters!$E$2:$F$5,2,FALSE),0))</f>
        <v>3</v>
      </c>
      <c r="I313" t="s">
        <v>63</v>
      </c>
    </row>
    <row r="314" spans="1:9">
      <c r="A314" t="s">
        <v>407</v>
      </c>
      <c r="B314" t="s">
        <v>94</v>
      </c>
      <c r="C314">
        <v>0</v>
      </c>
      <c r="D314">
        <v>0</v>
      </c>
      <c r="E314" t="s">
        <v>53</v>
      </c>
      <c r="F314">
        <v>0</v>
      </c>
      <c r="G314" t="s">
        <v>54</v>
      </c>
      <c r="H314">
        <f>MAX(IFERROR(VLOOKUP(LOWER(SUBSTITUTE(E314,"*","")),Parameters!$E$2:$F$5,2,FALSE),0),IFERROR(VLOOKUP(LOWER(SUBSTITUTE(G314,"*","")),Parameters!$E$2:$F$5,2,FALSE),0))</f>
        <v>1</v>
      </c>
      <c r="I314" t="s">
        <v>63</v>
      </c>
    </row>
    <row r="315" spans="1:9">
      <c r="A315" t="s">
        <v>408</v>
      </c>
      <c r="B315" t="s">
        <v>52</v>
      </c>
      <c r="C315">
        <v>0</v>
      </c>
      <c r="D315">
        <v>0</v>
      </c>
      <c r="E315" t="s">
        <v>53</v>
      </c>
      <c r="F315">
        <v>0</v>
      </c>
      <c r="G315" t="s">
        <v>54</v>
      </c>
      <c r="H315">
        <f>MAX(IFERROR(VLOOKUP(LOWER(SUBSTITUTE(E315,"*","")),Parameters!$E$2:$F$5,2,FALSE),0),IFERROR(VLOOKUP(LOWER(SUBSTITUTE(G315,"*","")),Parameters!$E$2:$F$5,2,FALSE),0))</f>
        <v>1</v>
      </c>
      <c r="I315" t="s">
        <v>55</v>
      </c>
    </row>
    <row r="316" spans="1:9">
      <c r="A316" t="s">
        <v>409</v>
      </c>
      <c r="B316" t="s">
        <v>106</v>
      </c>
      <c r="C316">
        <v>1</v>
      </c>
      <c r="D316">
        <v>1</v>
      </c>
      <c r="E316" t="s">
        <v>83</v>
      </c>
      <c r="F316">
        <v>1</v>
      </c>
      <c r="G316" t="s">
        <v>86</v>
      </c>
      <c r="H316">
        <f>MAX(IFERROR(VLOOKUP(LOWER(SUBSTITUTE(E316,"*","")),Parameters!$E$2:$F$5,2,FALSE),0),IFERROR(VLOOKUP(LOWER(SUBSTITUTE(G316,"*","")),Parameters!$E$2:$F$5,2,FALSE),0))</f>
        <v>3</v>
      </c>
      <c r="I316" t="s">
        <v>63</v>
      </c>
    </row>
    <row r="317" spans="1:9">
      <c r="A317" t="s">
        <v>410</v>
      </c>
      <c r="B317" t="s">
        <v>52</v>
      </c>
      <c r="C317">
        <v>0</v>
      </c>
      <c r="D317">
        <v>0</v>
      </c>
      <c r="E317" t="s">
        <v>53</v>
      </c>
      <c r="F317">
        <v>1</v>
      </c>
      <c r="G317" t="s">
        <v>86</v>
      </c>
      <c r="H317">
        <f>MAX(IFERROR(VLOOKUP(LOWER(SUBSTITUTE(E317,"*","")),Parameters!$E$2:$F$5,2,FALSE),0),IFERROR(VLOOKUP(LOWER(SUBSTITUTE(G317,"*","")),Parameters!$E$2:$F$5,2,FALSE),0))</f>
        <v>3</v>
      </c>
      <c r="I317" t="s">
        <v>55</v>
      </c>
    </row>
    <row r="318" spans="1:9">
      <c r="A318" t="s">
        <v>411</v>
      </c>
      <c r="B318" t="s">
        <v>52</v>
      </c>
      <c r="C318">
        <v>0</v>
      </c>
      <c r="D318">
        <v>0</v>
      </c>
      <c r="E318" t="s">
        <v>53</v>
      </c>
      <c r="F318">
        <v>0</v>
      </c>
      <c r="G318" t="s">
        <v>53</v>
      </c>
      <c r="H318">
        <f>MAX(IFERROR(VLOOKUP(LOWER(SUBSTITUTE(E318,"*","")),Parameters!$E$2:$F$5,2,FALSE),0),IFERROR(VLOOKUP(LOWER(SUBSTITUTE(G318,"*","")),Parameters!$E$2:$F$5,2,FALSE),0))</f>
        <v>0</v>
      </c>
      <c r="I318" t="s">
        <v>55</v>
      </c>
    </row>
    <row r="319" spans="1:9">
      <c r="A319" t="s">
        <v>412</v>
      </c>
      <c r="B319" t="s">
        <v>52</v>
      </c>
      <c r="C319">
        <v>0</v>
      </c>
      <c r="D319">
        <v>0</v>
      </c>
      <c r="E319" t="s">
        <v>53</v>
      </c>
      <c r="F319">
        <v>0</v>
      </c>
      <c r="G319" t="s">
        <v>54</v>
      </c>
      <c r="H319">
        <f>MAX(IFERROR(VLOOKUP(LOWER(SUBSTITUTE(E319,"*","")),Parameters!$E$2:$F$5,2,FALSE),0),IFERROR(VLOOKUP(LOWER(SUBSTITUTE(G319,"*","")),Parameters!$E$2:$F$5,2,FALSE),0))</f>
        <v>1</v>
      </c>
      <c r="I319" t="s">
        <v>55</v>
      </c>
    </row>
    <row r="320" spans="1:9">
      <c r="A320" t="s">
        <v>413</v>
      </c>
      <c r="B320" t="s">
        <v>52</v>
      </c>
      <c r="C320">
        <v>0</v>
      </c>
      <c r="D320">
        <v>1</v>
      </c>
      <c r="E320" t="s">
        <v>86</v>
      </c>
      <c r="F320">
        <v>1</v>
      </c>
      <c r="G320" t="s">
        <v>86</v>
      </c>
      <c r="H320">
        <f>MAX(IFERROR(VLOOKUP(LOWER(SUBSTITUTE(E320,"*","")),Parameters!$E$2:$F$5,2,FALSE),0),IFERROR(VLOOKUP(LOWER(SUBSTITUTE(G320,"*","")),Parameters!$E$2:$F$5,2,FALSE),0))</f>
        <v>3</v>
      </c>
      <c r="I320" t="s">
        <v>55</v>
      </c>
    </row>
    <row r="321" spans="1:9">
      <c r="A321" t="s">
        <v>414</v>
      </c>
      <c r="B321" t="s">
        <v>52</v>
      </c>
      <c r="C321">
        <v>0</v>
      </c>
      <c r="D321">
        <v>0</v>
      </c>
      <c r="E321" t="s">
        <v>53</v>
      </c>
      <c r="F321">
        <v>0</v>
      </c>
      <c r="G321" t="s">
        <v>53</v>
      </c>
      <c r="H321">
        <f>MAX(IFERROR(VLOOKUP(LOWER(SUBSTITUTE(E321,"*","")),Parameters!$E$2:$F$5,2,FALSE),0),IFERROR(VLOOKUP(LOWER(SUBSTITUTE(G321,"*","")),Parameters!$E$2:$F$5,2,FALSE),0))</f>
        <v>0</v>
      </c>
      <c r="I321" t="s">
        <v>55</v>
      </c>
    </row>
    <row r="322" spans="1:9">
      <c r="A322" t="s">
        <v>415</v>
      </c>
      <c r="B322" t="s">
        <v>146</v>
      </c>
      <c r="C322">
        <v>1</v>
      </c>
      <c r="D322">
        <v>1</v>
      </c>
      <c r="E322" t="s">
        <v>86</v>
      </c>
      <c r="F322">
        <v>1</v>
      </c>
      <c r="G322" t="s">
        <v>83</v>
      </c>
      <c r="H322">
        <f>MAX(IFERROR(VLOOKUP(LOWER(SUBSTITUTE(E322,"*","")),Parameters!$E$2:$F$5,2,FALSE),0),IFERROR(VLOOKUP(LOWER(SUBSTITUTE(G322,"*","")),Parameters!$E$2:$F$5,2,FALSE),0))</f>
        <v>3</v>
      </c>
      <c r="I322" t="s">
        <v>63</v>
      </c>
    </row>
    <row r="323" spans="1:9">
      <c r="A323" t="s">
        <v>416</v>
      </c>
      <c r="B323" t="s">
        <v>52</v>
      </c>
      <c r="C323">
        <v>0</v>
      </c>
      <c r="D323">
        <v>0</v>
      </c>
      <c r="E323" t="s">
        <v>53</v>
      </c>
      <c r="F323">
        <v>0</v>
      </c>
      <c r="G323" t="s">
        <v>54</v>
      </c>
      <c r="H323">
        <f>MAX(IFERROR(VLOOKUP(LOWER(SUBSTITUTE(E323,"*","")),Parameters!$E$2:$F$5,2,FALSE),0),IFERROR(VLOOKUP(LOWER(SUBSTITUTE(G323,"*","")),Parameters!$E$2:$F$5,2,FALSE),0))</f>
        <v>1</v>
      </c>
      <c r="I323" t="s">
        <v>55</v>
      </c>
    </row>
    <row r="324" spans="1:9">
      <c r="A324" t="s">
        <v>417</v>
      </c>
      <c r="B324" t="s">
        <v>52</v>
      </c>
      <c r="C324">
        <v>0</v>
      </c>
      <c r="D324">
        <v>0</v>
      </c>
      <c r="E324" t="s">
        <v>53</v>
      </c>
      <c r="F324">
        <v>0</v>
      </c>
      <c r="G324" t="s">
        <v>54</v>
      </c>
      <c r="H324">
        <f>MAX(IFERROR(VLOOKUP(LOWER(SUBSTITUTE(E324,"*","")),Parameters!$E$2:$F$5,2,FALSE),0),IFERROR(VLOOKUP(LOWER(SUBSTITUTE(G324,"*","")),Parameters!$E$2:$F$5,2,FALSE),0))</f>
        <v>1</v>
      </c>
      <c r="I324" t="s">
        <v>55</v>
      </c>
    </row>
    <row r="325" spans="1:9">
      <c r="A325" t="s">
        <v>418</v>
      </c>
      <c r="B325" t="s">
        <v>52</v>
      </c>
      <c r="C325">
        <v>0</v>
      </c>
      <c r="D325">
        <v>0</v>
      </c>
      <c r="E325" t="s">
        <v>54</v>
      </c>
      <c r="F325">
        <v>0</v>
      </c>
      <c r="G325" t="s">
        <v>54</v>
      </c>
      <c r="H325">
        <f>MAX(IFERROR(VLOOKUP(LOWER(SUBSTITUTE(E325,"*","")),Parameters!$E$2:$F$5,2,FALSE),0),IFERROR(VLOOKUP(LOWER(SUBSTITUTE(G325,"*","")),Parameters!$E$2:$F$5,2,FALSE),0))</f>
        <v>1</v>
      </c>
      <c r="I325" t="s">
        <v>55</v>
      </c>
    </row>
    <row r="326" spans="1:9">
      <c r="A326" t="s">
        <v>419</v>
      </c>
      <c r="B326" t="s">
        <v>52</v>
      </c>
      <c r="C326">
        <v>0</v>
      </c>
      <c r="D326">
        <v>0</v>
      </c>
      <c r="E326" t="s">
        <v>53</v>
      </c>
      <c r="F326">
        <v>0</v>
      </c>
      <c r="G326" t="s">
        <v>54</v>
      </c>
      <c r="H326">
        <f>MAX(IFERROR(VLOOKUP(LOWER(SUBSTITUTE(E326,"*","")),Parameters!$E$2:$F$5,2,FALSE),0),IFERROR(VLOOKUP(LOWER(SUBSTITUTE(G326,"*","")),Parameters!$E$2:$F$5,2,FALSE),0))</f>
        <v>1</v>
      </c>
      <c r="I326" t="s">
        <v>55</v>
      </c>
    </row>
    <row r="327" spans="1:9">
      <c r="A327" t="s">
        <v>420</v>
      </c>
      <c r="B327" t="s">
        <v>421</v>
      </c>
      <c r="C327">
        <v>0</v>
      </c>
      <c r="D327">
        <v>0</v>
      </c>
      <c r="E327" t="s">
        <v>53</v>
      </c>
      <c r="F327">
        <v>1</v>
      </c>
      <c r="G327" t="s">
        <v>86</v>
      </c>
      <c r="H327">
        <f>MAX(IFERROR(VLOOKUP(LOWER(SUBSTITUTE(E327,"*","")),Parameters!$E$2:$F$5,2,FALSE),0),IFERROR(VLOOKUP(LOWER(SUBSTITUTE(G327,"*","")),Parameters!$E$2:$F$5,2,FALSE),0))</f>
        <v>3</v>
      </c>
      <c r="I327" t="s">
        <v>63</v>
      </c>
    </row>
    <row r="328" spans="1:9">
      <c r="A328" t="s">
        <v>422</v>
      </c>
      <c r="B328" t="s">
        <v>52</v>
      </c>
      <c r="C328">
        <v>0</v>
      </c>
      <c r="D328">
        <v>0</v>
      </c>
      <c r="E328" t="s">
        <v>53</v>
      </c>
      <c r="F328">
        <v>0</v>
      </c>
      <c r="G328" t="s">
        <v>54</v>
      </c>
      <c r="H328">
        <f>MAX(IFERROR(VLOOKUP(LOWER(SUBSTITUTE(E328,"*","")),Parameters!$E$2:$F$5,2,FALSE),0),IFERROR(VLOOKUP(LOWER(SUBSTITUTE(G328,"*","")),Parameters!$E$2:$F$5,2,FALSE),0))</f>
        <v>1</v>
      </c>
      <c r="I328" t="s">
        <v>55</v>
      </c>
    </row>
    <row r="329" spans="1:9">
      <c r="A329" t="s">
        <v>423</v>
      </c>
      <c r="B329" t="s">
        <v>52</v>
      </c>
      <c r="C329">
        <v>0</v>
      </c>
      <c r="D329">
        <v>0</v>
      </c>
      <c r="E329" t="s">
        <v>53</v>
      </c>
      <c r="F329">
        <v>0</v>
      </c>
      <c r="G329" t="s">
        <v>54</v>
      </c>
      <c r="H329">
        <f>MAX(IFERROR(VLOOKUP(LOWER(SUBSTITUTE(E329,"*","")),Parameters!$E$2:$F$5,2,FALSE),0),IFERROR(VLOOKUP(LOWER(SUBSTITUTE(G329,"*","")),Parameters!$E$2:$F$5,2,FALSE),0))</f>
        <v>1</v>
      </c>
      <c r="I329" t="s">
        <v>55</v>
      </c>
    </row>
    <row r="330" spans="1:9">
      <c r="A330" t="s">
        <v>424</v>
      </c>
      <c r="B330" t="s">
        <v>425</v>
      </c>
      <c r="C330">
        <v>1</v>
      </c>
      <c r="D330">
        <v>1</v>
      </c>
      <c r="E330" t="s">
        <v>83</v>
      </c>
      <c r="F330">
        <v>1</v>
      </c>
      <c r="G330" t="s">
        <v>83</v>
      </c>
      <c r="H330">
        <f>MAX(IFERROR(VLOOKUP(LOWER(SUBSTITUTE(E330,"*","")),Parameters!$E$2:$F$5,2,FALSE),0),IFERROR(VLOOKUP(LOWER(SUBSTITUTE(G330,"*","")),Parameters!$E$2:$F$5,2,FALSE),0))</f>
        <v>2</v>
      </c>
      <c r="I330" t="s">
        <v>63</v>
      </c>
    </row>
    <row r="331" spans="1:9">
      <c r="A331" t="s">
        <v>426</v>
      </c>
      <c r="B331" t="s">
        <v>52</v>
      </c>
      <c r="C331">
        <v>0</v>
      </c>
      <c r="D331">
        <v>1</v>
      </c>
      <c r="E331" t="s">
        <v>83</v>
      </c>
      <c r="F331">
        <v>1</v>
      </c>
      <c r="G331" t="s">
        <v>83</v>
      </c>
      <c r="H331">
        <f>MAX(IFERROR(VLOOKUP(LOWER(SUBSTITUTE(E331,"*","")),Parameters!$E$2:$F$5,2,FALSE),0),IFERROR(VLOOKUP(LOWER(SUBSTITUTE(G331,"*","")),Parameters!$E$2:$F$5,2,FALSE),0))</f>
        <v>2</v>
      </c>
      <c r="I331" t="s">
        <v>55</v>
      </c>
    </row>
    <row r="332" spans="1:9">
      <c r="A332" t="s">
        <v>427</v>
      </c>
      <c r="B332" t="s">
        <v>52</v>
      </c>
      <c r="C332">
        <v>0</v>
      </c>
      <c r="D332">
        <v>0</v>
      </c>
      <c r="E332" t="s">
        <v>53</v>
      </c>
      <c r="F332">
        <v>0</v>
      </c>
      <c r="G332" t="s">
        <v>54</v>
      </c>
      <c r="H332">
        <f>MAX(IFERROR(VLOOKUP(LOWER(SUBSTITUTE(E332,"*","")),Parameters!$E$2:$F$5,2,FALSE),0),IFERROR(VLOOKUP(LOWER(SUBSTITUTE(G332,"*","")),Parameters!$E$2:$F$5,2,FALSE),0))</f>
        <v>1</v>
      </c>
      <c r="I332" t="s">
        <v>55</v>
      </c>
    </row>
    <row r="333" spans="1:9">
      <c r="A333" t="s">
        <v>428</v>
      </c>
      <c r="B333" t="s">
        <v>52</v>
      </c>
      <c r="C333">
        <v>0</v>
      </c>
      <c r="D333">
        <v>0</v>
      </c>
      <c r="E333" t="s">
        <v>53</v>
      </c>
      <c r="F333">
        <v>0</v>
      </c>
      <c r="G333" t="s">
        <v>53</v>
      </c>
      <c r="H333">
        <f>MAX(IFERROR(VLOOKUP(LOWER(SUBSTITUTE(E333,"*","")),Parameters!$E$2:$F$5,2,FALSE),0),IFERROR(VLOOKUP(LOWER(SUBSTITUTE(G333,"*","")),Parameters!$E$2:$F$5,2,FALSE),0))</f>
        <v>0</v>
      </c>
      <c r="I333" t="s">
        <v>55</v>
      </c>
    </row>
    <row r="334" spans="1:9">
      <c r="A334" t="s">
        <v>429</v>
      </c>
      <c r="B334" t="s">
        <v>52</v>
      </c>
      <c r="C334">
        <v>0</v>
      </c>
      <c r="D334">
        <v>0</v>
      </c>
      <c r="E334" t="s">
        <v>53</v>
      </c>
      <c r="F334">
        <v>0</v>
      </c>
      <c r="G334" t="s">
        <v>53</v>
      </c>
      <c r="H334">
        <f>MAX(IFERROR(VLOOKUP(LOWER(SUBSTITUTE(E334,"*","")),Parameters!$E$2:$F$5,2,FALSE),0),IFERROR(VLOOKUP(LOWER(SUBSTITUTE(G334,"*","")),Parameters!$E$2:$F$5,2,FALSE),0))</f>
        <v>0</v>
      </c>
      <c r="I334" t="s">
        <v>55</v>
      </c>
    </row>
    <row r="335" spans="1:9">
      <c r="A335" t="s">
        <v>430</v>
      </c>
      <c r="B335" t="s">
        <v>170</v>
      </c>
      <c r="C335">
        <v>1</v>
      </c>
      <c r="D335">
        <v>0</v>
      </c>
      <c r="E335" t="s">
        <v>53</v>
      </c>
      <c r="F335">
        <v>1</v>
      </c>
      <c r="G335" t="s">
        <v>83</v>
      </c>
      <c r="H335">
        <f>MAX(IFERROR(VLOOKUP(LOWER(SUBSTITUTE(E335,"*","")),Parameters!$E$2:$F$5,2,FALSE),0),IFERROR(VLOOKUP(LOWER(SUBSTITUTE(G335,"*","")),Parameters!$E$2:$F$5,2,FALSE),0))</f>
        <v>2</v>
      </c>
      <c r="I335" t="s">
        <v>63</v>
      </c>
    </row>
    <row r="336" spans="1:9">
      <c r="A336" t="s">
        <v>431</v>
      </c>
      <c r="B336" t="s">
        <v>94</v>
      </c>
      <c r="C336">
        <v>0</v>
      </c>
      <c r="D336">
        <v>0</v>
      </c>
      <c r="E336" t="s">
        <v>53</v>
      </c>
      <c r="F336">
        <v>0</v>
      </c>
      <c r="G336" t="s">
        <v>53</v>
      </c>
      <c r="H336">
        <f>MAX(IFERROR(VLOOKUP(LOWER(SUBSTITUTE(E336,"*","")),Parameters!$E$2:$F$5,2,FALSE),0),IFERROR(VLOOKUP(LOWER(SUBSTITUTE(G336,"*","")),Parameters!$E$2:$F$5,2,FALSE),0))</f>
        <v>0</v>
      </c>
      <c r="I336" t="s">
        <v>63</v>
      </c>
    </row>
    <row r="337" spans="1:9">
      <c r="A337" t="s">
        <v>432</v>
      </c>
      <c r="B337" t="s">
        <v>52</v>
      </c>
      <c r="C337">
        <v>0</v>
      </c>
      <c r="D337">
        <v>0</v>
      </c>
      <c r="E337" t="s">
        <v>53</v>
      </c>
      <c r="F337">
        <v>0</v>
      </c>
      <c r="G337" t="s">
        <v>54</v>
      </c>
      <c r="H337">
        <f>MAX(IFERROR(VLOOKUP(LOWER(SUBSTITUTE(E337,"*","")),Parameters!$E$2:$F$5,2,FALSE),0),IFERROR(VLOOKUP(LOWER(SUBSTITUTE(G337,"*","")),Parameters!$E$2:$F$5,2,FALSE),0))</f>
        <v>1</v>
      </c>
      <c r="I337" t="s">
        <v>55</v>
      </c>
    </row>
    <row r="338" spans="1:9">
      <c r="A338" t="s">
        <v>433</v>
      </c>
      <c r="B338" t="s">
        <v>52</v>
      </c>
      <c r="C338">
        <v>0</v>
      </c>
      <c r="D338">
        <v>0</v>
      </c>
      <c r="E338" t="s">
        <v>53</v>
      </c>
      <c r="F338">
        <v>0</v>
      </c>
      <c r="G338" t="s">
        <v>53</v>
      </c>
      <c r="H338">
        <f>MAX(IFERROR(VLOOKUP(LOWER(SUBSTITUTE(E338,"*","")),Parameters!$E$2:$F$5,2,FALSE),0),IFERROR(VLOOKUP(LOWER(SUBSTITUTE(G338,"*","")),Parameters!$E$2:$F$5,2,FALSE),0))</f>
        <v>0</v>
      </c>
      <c r="I338" t="s">
        <v>55</v>
      </c>
    </row>
    <row r="339" spans="1:9">
      <c r="A339" t="s">
        <v>434</v>
      </c>
      <c r="B339" t="s">
        <v>170</v>
      </c>
      <c r="C339">
        <v>1</v>
      </c>
      <c r="D339">
        <v>0</v>
      </c>
      <c r="E339" t="s">
        <v>54</v>
      </c>
      <c r="F339">
        <v>1</v>
      </c>
      <c r="G339" t="s">
        <v>83</v>
      </c>
      <c r="H339">
        <f>MAX(IFERROR(VLOOKUP(LOWER(SUBSTITUTE(E339,"*","")),Parameters!$E$2:$F$5,2,FALSE),0),IFERROR(VLOOKUP(LOWER(SUBSTITUTE(G339,"*","")),Parameters!$E$2:$F$5,2,FALSE),0))</f>
        <v>2</v>
      </c>
      <c r="I339" t="s">
        <v>63</v>
      </c>
    </row>
    <row r="340" spans="1:9">
      <c r="A340" t="s">
        <v>435</v>
      </c>
      <c r="B340" t="s">
        <v>52</v>
      </c>
      <c r="C340">
        <v>0</v>
      </c>
      <c r="D340">
        <v>0</v>
      </c>
      <c r="E340" t="s">
        <v>53</v>
      </c>
      <c r="F340">
        <v>0</v>
      </c>
      <c r="G340" t="s">
        <v>54</v>
      </c>
      <c r="H340">
        <f>MAX(IFERROR(VLOOKUP(LOWER(SUBSTITUTE(E340,"*","")),Parameters!$E$2:$F$5,2,FALSE),0),IFERROR(VLOOKUP(LOWER(SUBSTITUTE(G340,"*","")),Parameters!$E$2:$F$5,2,FALSE),0))</f>
        <v>1</v>
      </c>
      <c r="I340" t="s">
        <v>55</v>
      </c>
    </row>
    <row r="341" spans="1:9">
      <c r="A341" t="s">
        <v>436</v>
      </c>
      <c r="B341" t="s">
        <v>52</v>
      </c>
      <c r="C341">
        <v>0</v>
      </c>
      <c r="D341">
        <v>0</v>
      </c>
      <c r="E341" t="s">
        <v>53</v>
      </c>
      <c r="F341">
        <v>0</v>
      </c>
      <c r="G341" t="s">
        <v>54</v>
      </c>
      <c r="H341">
        <f>MAX(IFERROR(VLOOKUP(LOWER(SUBSTITUTE(E341,"*","")),Parameters!$E$2:$F$5,2,FALSE),0),IFERROR(VLOOKUP(LOWER(SUBSTITUTE(G341,"*","")),Parameters!$E$2:$F$5,2,FALSE),0))</f>
        <v>1</v>
      </c>
      <c r="I341" t="s">
        <v>55</v>
      </c>
    </row>
    <row r="342" spans="1:9">
      <c r="A342" t="s">
        <v>437</v>
      </c>
      <c r="B342" t="s">
        <v>52</v>
      </c>
      <c r="C342">
        <v>0</v>
      </c>
      <c r="D342">
        <v>0</v>
      </c>
      <c r="E342" t="s">
        <v>53</v>
      </c>
      <c r="F342">
        <v>0</v>
      </c>
      <c r="G342" t="s">
        <v>53</v>
      </c>
      <c r="H342">
        <f>MAX(IFERROR(VLOOKUP(LOWER(SUBSTITUTE(E342,"*","")),Parameters!$E$2:$F$5,2,FALSE),0),IFERROR(VLOOKUP(LOWER(SUBSTITUTE(G342,"*","")),Parameters!$E$2:$F$5,2,FALSE),0))</f>
        <v>0</v>
      </c>
      <c r="I342" t="s">
        <v>55</v>
      </c>
    </row>
    <row r="343" spans="1:9">
      <c r="A343" t="s">
        <v>438</v>
      </c>
      <c r="B343" t="s">
        <v>52</v>
      </c>
      <c r="C343">
        <v>0</v>
      </c>
      <c r="D343">
        <v>0</v>
      </c>
      <c r="E343" t="s">
        <v>53</v>
      </c>
      <c r="F343">
        <v>0</v>
      </c>
      <c r="G343" t="s">
        <v>54</v>
      </c>
      <c r="H343">
        <f>MAX(IFERROR(VLOOKUP(LOWER(SUBSTITUTE(E343,"*","")),Parameters!$E$2:$F$5,2,FALSE),0),IFERROR(VLOOKUP(LOWER(SUBSTITUTE(G343,"*","")),Parameters!$E$2:$F$5,2,FALSE),0))</f>
        <v>1</v>
      </c>
      <c r="I343" t="s">
        <v>55</v>
      </c>
    </row>
    <row r="344" spans="1:9">
      <c r="A344" t="s">
        <v>439</v>
      </c>
      <c r="B344" t="s">
        <v>52</v>
      </c>
      <c r="C344">
        <v>0</v>
      </c>
      <c r="D344">
        <v>0</v>
      </c>
      <c r="E344" t="s">
        <v>53</v>
      </c>
      <c r="F344">
        <v>0</v>
      </c>
      <c r="G344" t="s">
        <v>53</v>
      </c>
      <c r="H344">
        <f>MAX(IFERROR(VLOOKUP(LOWER(SUBSTITUTE(E344,"*","")),Parameters!$E$2:$F$5,2,FALSE),0),IFERROR(VLOOKUP(LOWER(SUBSTITUTE(G344,"*","")),Parameters!$E$2:$F$5,2,FALSE),0))</f>
        <v>0</v>
      </c>
      <c r="I344" t="s">
        <v>55</v>
      </c>
    </row>
    <row r="345" spans="1:9">
      <c r="A345" t="s">
        <v>440</v>
      </c>
      <c r="B345" t="s">
        <v>52</v>
      </c>
      <c r="C345">
        <v>0</v>
      </c>
      <c r="D345">
        <v>0</v>
      </c>
      <c r="E345" t="s">
        <v>53</v>
      </c>
      <c r="F345">
        <v>0</v>
      </c>
      <c r="G345" t="s">
        <v>53</v>
      </c>
      <c r="H345">
        <f>MAX(IFERROR(VLOOKUP(LOWER(SUBSTITUTE(E345,"*","")),Parameters!$E$2:$F$5,2,FALSE),0),IFERROR(VLOOKUP(LOWER(SUBSTITUTE(G345,"*","")),Parameters!$E$2:$F$5,2,FALSE),0))</f>
        <v>0</v>
      </c>
      <c r="I345" t="s">
        <v>55</v>
      </c>
    </row>
    <row r="346" spans="1:9">
      <c r="A346" t="s">
        <v>441</v>
      </c>
      <c r="B346" t="s">
        <v>52</v>
      </c>
      <c r="C346">
        <v>0</v>
      </c>
      <c r="D346">
        <v>0</v>
      </c>
      <c r="E346" t="s">
        <v>54</v>
      </c>
      <c r="F346">
        <v>0</v>
      </c>
      <c r="G346" t="s">
        <v>53</v>
      </c>
      <c r="H346">
        <f>MAX(IFERROR(VLOOKUP(LOWER(SUBSTITUTE(E346,"*","")),Parameters!$E$2:$F$5,2,FALSE),0),IFERROR(VLOOKUP(LOWER(SUBSTITUTE(G346,"*","")),Parameters!$E$2:$F$5,2,FALSE),0))</f>
        <v>1</v>
      </c>
      <c r="I346" t="s">
        <v>55</v>
      </c>
    </row>
    <row r="347" spans="1:9">
      <c r="A347" t="s">
        <v>442</v>
      </c>
      <c r="B347" t="s">
        <v>52</v>
      </c>
      <c r="C347">
        <v>0</v>
      </c>
      <c r="D347">
        <v>0</v>
      </c>
      <c r="E347" t="s">
        <v>53</v>
      </c>
      <c r="F347">
        <v>0</v>
      </c>
      <c r="G347" t="s">
        <v>54</v>
      </c>
      <c r="H347">
        <f>MAX(IFERROR(VLOOKUP(LOWER(SUBSTITUTE(E347,"*","")),Parameters!$E$2:$F$5,2,FALSE),0),IFERROR(VLOOKUP(LOWER(SUBSTITUTE(G347,"*","")),Parameters!$E$2:$F$5,2,FALSE),0))</f>
        <v>1</v>
      </c>
      <c r="I347" t="s">
        <v>55</v>
      </c>
    </row>
    <row r="348" spans="1:9">
      <c r="A348" t="s">
        <v>443</v>
      </c>
      <c r="B348" t="s">
        <v>444</v>
      </c>
      <c r="C348">
        <v>1</v>
      </c>
      <c r="D348">
        <v>0</v>
      </c>
      <c r="E348" t="s">
        <v>53</v>
      </c>
      <c r="F348">
        <v>1</v>
      </c>
      <c r="G348" t="s">
        <v>83</v>
      </c>
      <c r="H348">
        <f>MAX(IFERROR(VLOOKUP(LOWER(SUBSTITUTE(E348,"*","")),Parameters!$E$2:$F$5,2,FALSE),0),IFERROR(VLOOKUP(LOWER(SUBSTITUTE(G348,"*","")),Parameters!$E$2:$F$5,2,FALSE),0))</f>
        <v>2</v>
      </c>
      <c r="I348" t="s">
        <v>63</v>
      </c>
    </row>
    <row r="349" spans="1:9">
      <c r="A349" t="s">
        <v>445</v>
      </c>
      <c r="B349" t="s">
        <v>52</v>
      </c>
      <c r="C349">
        <v>0</v>
      </c>
      <c r="D349">
        <v>0</v>
      </c>
      <c r="E349" t="s">
        <v>53</v>
      </c>
      <c r="F349">
        <v>0</v>
      </c>
      <c r="G349" t="s">
        <v>54</v>
      </c>
      <c r="H349">
        <f>MAX(IFERROR(VLOOKUP(LOWER(SUBSTITUTE(E349,"*","")),Parameters!$E$2:$F$5,2,FALSE),0),IFERROR(VLOOKUP(LOWER(SUBSTITUTE(G349,"*","")),Parameters!$E$2:$F$5,2,FALSE),0))</f>
        <v>1</v>
      </c>
      <c r="I349" t="s">
        <v>55</v>
      </c>
    </row>
    <row r="350" spans="1:9">
      <c r="A350" t="s">
        <v>446</v>
      </c>
      <c r="B350" t="s">
        <v>52</v>
      </c>
      <c r="C350">
        <v>0</v>
      </c>
      <c r="D350">
        <v>0</v>
      </c>
      <c r="E350" t="s">
        <v>53</v>
      </c>
      <c r="F350">
        <v>0</v>
      </c>
      <c r="G350" t="s">
        <v>54</v>
      </c>
      <c r="H350">
        <f>MAX(IFERROR(VLOOKUP(LOWER(SUBSTITUTE(E350,"*","")),Parameters!$E$2:$F$5,2,FALSE),0),IFERROR(VLOOKUP(LOWER(SUBSTITUTE(G350,"*","")),Parameters!$E$2:$F$5,2,FALSE),0))</f>
        <v>1</v>
      </c>
      <c r="I350" t="s">
        <v>55</v>
      </c>
    </row>
    <row r="351" spans="1:9">
      <c r="A351" t="s">
        <v>447</v>
      </c>
      <c r="B351" t="s">
        <v>52</v>
      </c>
      <c r="C351">
        <v>0</v>
      </c>
      <c r="D351">
        <v>0</v>
      </c>
      <c r="E351" t="s">
        <v>53</v>
      </c>
      <c r="F351">
        <v>0</v>
      </c>
      <c r="G351" t="s">
        <v>53</v>
      </c>
      <c r="H351">
        <f>MAX(IFERROR(VLOOKUP(LOWER(SUBSTITUTE(E351,"*","")),Parameters!$E$2:$F$5,2,FALSE),0),IFERROR(VLOOKUP(LOWER(SUBSTITUTE(G351,"*","")),Parameters!$E$2:$F$5,2,FALSE),0))</f>
        <v>0</v>
      </c>
      <c r="I351" t="s">
        <v>55</v>
      </c>
    </row>
    <row r="352" spans="1:9">
      <c r="A352" t="s">
        <v>448</v>
      </c>
      <c r="B352" t="s">
        <v>85</v>
      </c>
      <c r="C352">
        <v>1</v>
      </c>
      <c r="D352">
        <v>0</v>
      </c>
      <c r="E352" t="s">
        <v>54</v>
      </c>
      <c r="F352">
        <v>1</v>
      </c>
      <c r="G352" t="s">
        <v>86</v>
      </c>
      <c r="H352">
        <f>MAX(IFERROR(VLOOKUP(LOWER(SUBSTITUTE(E352,"*","")),Parameters!$E$2:$F$5,2,FALSE),0),IFERROR(VLOOKUP(LOWER(SUBSTITUTE(G352,"*","")),Parameters!$E$2:$F$5,2,FALSE),0))</f>
        <v>3</v>
      </c>
      <c r="I352" t="s">
        <v>63</v>
      </c>
    </row>
    <row r="353" spans="1:9">
      <c r="A353" t="s">
        <v>449</v>
      </c>
      <c r="B353" t="s">
        <v>52</v>
      </c>
      <c r="C353">
        <v>0</v>
      </c>
      <c r="D353">
        <v>0</v>
      </c>
      <c r="E353" t="s">
        <v>53</v>
      </c>
      <c r="F353">
        <v>0</v>
      </c>
      <c r="G353" t="s">
        <v>53</v>
      </c>
      <c r="H353">
        <f>MAX(IFERROR(VLOOKUP(LOWER(SUBSTITUTE(E353,"*","")),Parameters!$E$2:$F$5,2,FALSE),0),IFERROR(VLOOKUP(LOWER(SUBSTITUTE(G353,"*","")),Parameters!$E$2:$F$5,2,FALSE),0))</f>
        <v>0</v>
      </c>
      <c r="I353" t="s">
        <v>55</v>
      </c>
    </row>
    <row r="354" spans="1:9">
      <c r="A354" t="s">
        <v>450</v>
      </c>
      <c r="B354" t="s">
        <v>52</v>
      </c>
      <c r="C354">
        <v>0</v>
      </c>
      <c r="D354">
        <v>0</v>
      </c>
      <c r="E354" t="s">
        <v>53</v>
      </c>
      <c r="F354">
        <v>0</v>
      </c>
      <c r="G354" t="s">
        <v>54</v>
      </c>
      <c r="H354">
        <f>MAX(IFERROR(VLOOKUP(LOWER(SUBSTITUTE(E354,"*","")),Parameters!$E$2:$F$5,2,FALSE),0),IFERROR(VLOOKUP(LOWER(SUBSTITUTE(G354,"*","")),Parameters!$E$2:$F$5,2,FALSE),0))</f>
        <v>1</v>
      </c>
      <c r="I354" t="s">
        <v>55</v>
      </c>
    </row>
    <row r="355" spans="1:9">
      <c r="A355" t="s">
        <v>451</v>
      </c>
      <c r="B355" t="s">
        <v>52</v>
      </c>
      <c r="C355">
        <v>0</v>
      </c>
      <c r="D355">
        <v>0</v>
      </c>
      <c r="E355" t="s">
        <v>53</v>
      </c>
      <c r="F355">
        <v>1</v>
      </c>
      <c r="G355" t="s">
        <v>83</v>
      </c>
      <c r="H355">
        <f>MAX(IFERROR(VLOOKUP(LOWER(SUBSTITUTE(E355,"*","")),Parameters!$E$2:$F$5,2,FALSE),0),IFERROR(VLOOKUP(LOWER(SUBSTITUTE(G355,"*","")),Parameters!$E$2:$F$5,2,FALSE),0))</f>
        <v>2</v>
      </c>
      <c r="I355" t="s">
        <v>55</v>
      </c>
    </row>
    <row r="356" spans="1:9">
      <c r="A356" t="s">
        <v>452</v>
      </c>
      <c r="B356" t="s">
        <v>52</v>
      </c>
      <c r="C356">
        <v>0</v>
      </c>
      <c r="D356">
        <v>0</v>
      </c>
      <c r="E356" t="s">
        <v>53</v>
      </c>
      <c r="F356">
        <v>0</v>
      </c>
      <c r="G356" t="s">
        <v>54</v>
      </c>
      <c r="H356">
        <f>MAX(IFERROR(VLOOKUP(LOWER(SUBSTITUTE(E356,"*","")),Parameters!$E$2:$F$5,2,FALSE),0),IFERROR(VLOOKUP(LOWER(SUBSTITUTE(G356,"*","")),Parameters!$E$2:$F$5,2,FALSE),0))</f>
        <v>1</v>
      </c>
      <c r="I356" t="s">
        <v>55</v>
      </c>
    </row>
    <row r="357" spans="1:9">
      <c r="A357" t="s">
        <v>453</v>
      </c>
      <c r="B357" t="s">
        <v>52</v>
      </c>
      <c r="C357">
        <v>0</v>
      </c>
      <c r="D357">
        <v>0</v>
      </c>
      <c r="E357" t="s">
        <v>53</v>
      </c>
      <c r="F357">
        <v>0</v>
      </c>
      <c r="G357" t="s">
        <v>53</v>
      </c>
      <c r="H357">
        <f>MAX(IFERROR(VLOOKUP(LOWER(SUBSTITUTE(E357,"*","")),Parameters!$E$2:$F$5,2,FALSE),0),IFERROR(VLOOKUP(LOWER(SUBSTITUTE(G357,"*","")),Parameters!$E$2:$F$5,2,FALSE),0))</f>
        <v>0</v>
      </c>
      <c r="I357" t="s">
        <v>55</v>
      </c>
    </row>
    <row r="358" spans="1:9">
      <c r="A358" t="s">
        <v>454</v>
      </c>
      <c r="B358" t="s">
        <v>52</v>
      </c>
      <c r="C358">
        <v>0</v>
      </c>
      <c r="D358">
        <v>0</v>
      </c>
      <c r="E358" t="s">
        <v>53</v>
      </c>
      <c r="F358">
        <v>0</v>
      </c>
      <c r="G358" t="s">
        <v>54</v>
      </c>
      <c r="H358">
        <f>MAX(IFERROR(VLOOKUP(LOWER(SUBSTITUTE(E358,"*","")),Parameters!$E$2:$F$5,2,FALSE),0),IFERROR(VLOOKUP(LOWER(SUBSTITUTE(G358,"*","")),Parameters!$E$2:$F$5,2,FALSE),0))</f>
        <v>1</v>
      </c>
      <c r="I358" t="s">
        <v>55</v>
      </c>
    </row>
    <row r="359" spans="1:9">
      <c r="A359" t="s">
        <v>455</v>
      </c>
      <c r="B359" t="s">
        <v>456</v>
      </c>
      <c r="C359">
        <v>0</v>
      </c>
      <c r="D359">
        <v>0</v>
      </c>
      <c r="E359" t="s">
        <v>54</v>
      </c>
      <c r="F359">
        <v>1</v>
      </c>
      <c r="G359" t="s">
        <v>83</v>
      </c>
      <c r="H359">
        <f>MAX(IFERROR(VLOOKUP(LOWER(SUBSTITUTE(E359,"*","")),Parameters!$E$2:$F$5,2,FALSE),0),IFERROR(VLOOKUP(LOWER(SUBSTITUTE(G359,"*","")),Parameters!$E$2:$F$5,2,FALSE),0))</f>
        <v>2</v>
      </c>
      <c r="I359" t="s">
        <v>63</v>
      </c>
    </row>
    <row r="360" spans="1:9">
      <c r="A360" t="s">
        <v>457</v>
      </c>
      <c r="B360" t="s">
        <v>52</v>
      </c>
      <c r="C360">
        <v>0</v>
      </c>
      <c r="D360">
        <v>0</v>
      </c>
      <c r="E360" t="s">
        <v>53</v>
      </c>
      <c r="F360">
        <v>0</v>
      </c>
      <c r="G360" t="s">
        <v>54</v>
      </c>
      <c r="H360">
        <f>MAX(IFERROR(VLOOKUP(LOWER(SUBSTITUTE(E360,"*","")),Parameters!$E$2:$F$5,2,FALSE),0),IFERROR(VLOOKUP(LOWER(SUBSTITUTE(G360,"*","")),Parameters!$E$2:$F$5,2,FALSE),0))</f>
        <v>1</v>
      </c>
      <c r="I360" t="s">
        <v>55</v>
      </c>
    </row>
    <row r="361" spans="1:9">
      <c r="A361" t="s">
        <v>458</v>
      </c>
      <c r="B361" t="s">
        <v>52</v>
      </c>
      <c r="C361">
        <v>0</v>
      </c>
      <c r="D361">
        <v>0</v>
      </c>
      <c r="E361" t="s">
        <v>53</v>
      </c>
      <c r="F361">
        <v>0</v>
      </c>
      <c r="G361" t="s">
        <v>54</v>
      </c>
      <c r="H361">
        <f>MAX(IFERROR(VLOOKUP(LOWER(SUBSTITUTE(E361,"*","")),Parameters!$E$2:$F$5,2,FALSE),0),IFERROR(VLOOKUP(LOWER(SUBSTITUTE(G361,"*","")),Parameters!$E$2:$F$5,2,FALSE),0))</f>
        <v>1</v>
      </c>
      <c r="I361" t="s">
        <v>55</v>
      </c>
    </row>
    <row r="362" spans="1:9">
      <c r="A362" t="s">
        <v>459</v>
      </c>
      <c r="B362" t="s">
        <v>52</v>
      </c>
      <c r="C362">
        <v>0</v>
      </c>
      <c r="D362">
        <v>0</v>
      </c>
      <c r="E362" t="s">
        <v>53</v>
      </c>
      <c r="F362">
        <v>0</v>
      </c>
      <c r="G362" t="s">
        <v>53</v>
      </c>
      <c r="H362">
        <f>MAX(IFERROR(VLOOKUP(LOWER(SUBSTITUTE(E362,"*","")),Parameters!$E$2:$F$5,2,FALSE),0),IFERROR(VLOOKUP(LOWER(SUBSTITUTE(G362,"*","")),Parameters!$E$2:$F$5,2,FALSE),0))</f>
        <v>0</v>
      </c>
      <c r="I362" t="s">
        <v>55</v>
      </c>
    </row>
    <row r="363" spans="1:9">
      <c r="A363" t="s">
        <v>460</v>
      </c>
      <c r="B363" t="s">
        <v>52</v>
      </c>
      <c r="C363">
        <v>0</v>
      </c>
      <c r="D363">
        <v>0</v>
      </c>
      <c r="E363" t="s">
        <v>53</v>
      </c>
      <c r="F363">
        <v>0</v>
      </c>
      <c r="G363" t="s">
        <v>54</v>
      </c>
      <c r="H363">
        <f>MAX(IFERROR(VLOOKUP(LOWER(SUBSTITUTE(E363,"*","")),Parameters!$E$2:$F$5,2,FALSE),0),IFERROR(VLOOKUP(LOWER(SUBSTITUTE(G363,"*","")),Parameters!$E$2:$F$5,2,FALSE),0))</f>
        <v>1</v>
      </c>
      <c r="I363" t="s">
        <v>55</v>
      </c>
    </row>
    <row r="364" spans="1:9">
      <c r="A364" t="s">
        <v>461</v>
      </c>
      <c r="B364" t="s">
        <v>52</v>
      </c>
      <c r="C364">
        <v>0</v>
      </c>
      <c r="D364">
        <v>1</v>
      </c>
      <c r="E364" t="s">
        <v>83</v>
      </c>
      <c r="F364">
        <v>1</v>
      </c>
      <c r="G364" t="s">
        <v>86</v>
      </c>
      <c r="H364">
        <f>MAX(IFERROR(VLOOKUP(LOWER(SUBSTITUTE(E364,"*","")),Parameters!$E$2:$F$5,2,FALSE),0),IFERROR(VLOOKUP(LOWER(SUBSTITUTE(G364,"*","")),Parameters!$E$2:$F$5,2,FALSE),0))</f>
        <v>3</v>
      </c>
      <c r="I364" t="s">
        <v>55</v>
      </c>
    </row>
    <row r="365" spans="1:9">
      <c r="A365" t="s">
        <v>462</v>
      </c>
      <c r="B365" t="s">
        <v>52</v>
      </c>
      <c r="C365">
        <v>0</v>
      </c>
      <c r="D365">
        <v>0</v>
      </c>
      <c r="E365" t="s">
        <v>53</v>
      </c>
      <c r="F365">
        <v>0</v>
      </c>
      <c r="G365" t="s">
        <v>53</v>
      </c>
      <c r="H365">
        <f>MAX(IFERROR(VLOOKUP(LOWER(SUBSTITUTE(E365,"*","")),Parameters!$E$2:$F$5,2,FALSE),0),IFERROR(VLOOKUP(LOWER(SUBSTITUTE(G365,"*","")),Parameters!$E$2:$F$5,2,FALSE),0))</f>
        <v>0</v>
      </c>
      <c r="I365" t="s">
        <v>55</v>
      </c>
    </row>
    <row r="366" spans="1:9">
      <c r="A366" t="s">
        <v>463</v>
      </c>
      <c r="B366" t="s">
        <v>52</v>
      </c>
      <c r="C366">
        <v>0</v>
      </c>
      <c r="D366">
        <v>0</v>
      </c>
      <c r="E366" t="s">
        <v>53</v>
      </c>
      <c r="F366">
        <v>0</v>
      </c>
      <c r="G366" t="s">
        <v>54</v>
      </c>
      <c r="H366">
        <f>MAX(IFERROR(VLOOKUP(LOWER(SUBSTITUTE(E366,"*","")),Parameters!$E$2:$F$5,2,FALSE),0),IFERROR(VLOOKUP(LOWER(SUBSTITUTE(G366,"*","")),Parameters!$E$2:$F$5,2,FALSE),0))</f>
        <v>1</v>
      </c>
      <c r="I366" t="s">
        <v>55</v>
      </c>
    </row>
    <row r="367" spans="1:9">
      <c r="A367" t="s">
        <v>464</v>
      </c>
      <c r="B367" t="s">
        <v>150</v>
      </c>
      <c r="C367">
        <v>0</v>
      </c>
      <c r="D367">
        <v>0</v>
      </c>
      <c r="E367" t="s">
        <v>54</v>
      </c>
      <c r="F367">
        <v>1</v>
      </c>
      <c r="G367" t="s">
        <v>83</v>
      </c>
      <c r="H367">
        <f>MAX(IFERROR(VLOOKUP(LOWER(SUBSTITUTE(E367,"*","")),Parameters!$E$2:$F$5,2,FALSE),0),IFERROR(VLOOKUP(LOWER(SUBSTITUTE(G367,"*","")),Parameters!$E$2:$F$5,2,FALSE),0))</f>
        <v>2</v>
      </c>
      <c r="I367" t="s">
        <v>63</v>
      </c>
    </row>
    <row r="368" spans="1:9">
      <c r="A368" t="s">
        <v>465</v>
      </c>
      <c r="B368" t="s">
        <v>52</v>
      </c>
      <c r="C368">
        <v>0</v>
      </c>
      <c r="D368">
        <v>0</v>
      </c>
      <c r="E368" t="s">
        <v>53</v>
      </c>
      <c r="F368">
        <v>0</v>
      </c>
      <c r="G368" t="s">
        <v>54</v>
      </c>
      <c r="H368">
        <f>MAX(IFERROR(VLOOKUP(LOWER(SUBSTITUTE(E368,"*","")),Parameters!$E$2:$F$5,2,FALSE),0),IFERROR(VLOOKUP(LOWER(SUBSTITUTE(G368,"*","")),Parameters!$E$2:$F$5,2,FALSE),0))</f>
        <v>1</v>
      </c>
      <c r="I368" t="s">
        <v>55</v>
      </c>
    </row>
    <row r="369" spans="1:9">
      <c r="A369" t="s">
        <v>466</v>
      </c>
      <c r="B369" t="s">
        <v>52</v>
      </c>
      <c r="C369">
        <v>0</v>
      </c>
      <c r="D369">
        <v>0</v>
      </c>
      <c r="E369" t="s">
        <v>53</v>
      </c>
      <c r="F369">
        <v>0</v>
      </c>
      <c r="G369" t="s">
        <v>53</v>
      </c>
      <c r="H369">
        <f>MAX(IFERROR(VLOOKUP(LOWER(SUBSTITUTE(E369,"*","")),Parameters!$E$2:$F$5,2,FALSE),0),IFERROR(VLOOKUP(LOWER(SUBSTITUTE(G369,"*","")),Parameters!$E$2:$F$5,2,FALSE),0))</f>
        <v>0</v>
      </c>
      <c r="I369" t="s">
        <v>55</v>
      </c>
    </row>
    <row r="370" spans="1:9">
      <c r="A370" t="s">
        <v>467</v>
      </c>
      <c r="B370" t="s">
        <v>52</v>
      </c>
      <c r="C370">
        <v>0</v>
      </c>
      <c r="D370">
        <v>0</v>
      </c>
      <c r="E370" t="s">
        <v>53</v>
      </c>
      <c r="F370">
        <v>0</v>
      </c>
      <c r="G370" t="s">
        <v>53</v>
      </c>
      <c r="H370">
        <f>MAX(IFERROR(VLOOKUP(LOWER(SUBSTITUTE(E370,"*","")),Parameters!$E$2:$F$5,2,FALSE),0),IFERROR(VLOOKUP(LOWER(SUBSTITUTE(G370,"*","")),Parameters!$E$2:$F$5,2,FALSE),0))</f>
        <v>0</v>
      </c>
      <c r="I370" t="s">
        <v>55</v>
      </c>
    </row>
    <row r="371" spans="1:9">
      <c r="A371" t="s">
        <v>468</v>
      </c>
      <c r="B371" t="s">
        <v>52</v>
      </c>
      <c r="C371">
        <v>0</v>
      </c>
      <c r="D371">
        <v>0</v>
      </c>
      <c r="E371" t="s">
        <v>53</v>
      </c>
      <c r="F371">
        <v>0</v>
      </c>
      <c r="G371" t="s">
        <v>53</v>
      </c>
      <c r="H371">
        <f>MAX(IFERROR(VLOOKUP(LOWER(SUBSTITUTE(E371,"*","")),Parameters!$E$2:$F$5,2,FALSE),0),IFERROR(VLOOKUP(LOWER(SUBSTITUTE(G371,"*","")),Parameters!$E$2:$F$5,2,FALSE),0))</f>
        <v>0</v>
      </c>
      <c r="I371" t="s">
        <v>55</v>
      </c>
    </row>
    <row r="372" spans="1:9">
      <c r="A372" t="s">
        <v>469</v>
      </c>
      <c r="B372" t="s">
        <v>52</v>
      </c>
      <c r="C372">
        <v>0</v>
      </c>
      <c r="D372">
        <v>0</v>
      </c>
      <c r="E372" t="s">
        <v>53</v>
      </c>
      <c r="F372">
        <v>0</v>
      </c>
      <c r="G372" t="s">
        <v>54</v>
      </c>
      <c r="H372">
        <f>MAX(IFERROR(VLOOKUP(LOWER(SUBSTITUTE(E372,"*","")),Parameters!$E$2:$F$5,2,FALSE),0),IFERROR(VLOOKUP(LOWER(SUBSTITUTE(G372,"*","")),Parameters!$E$2:$F$5,2,FALSE),0))</f>
        <v>1</v>
      </c>
      <c r="I372" t="s">
        <v>55</v>
      </c>
    </row>
    <row r="373" spans="1:9">
      <c r="A373" t="s">
        <v>470</v>
      </c>
      <c r="B373" t="s">
        <v>52</v>
      </c>
      <c r="C373">
        <v>0</v>
      </c>
      <c r="D373">
        <v>0</v>
      </c>
      <c r="E373" t="s">
        <v>54</v>
      </c>
      <c r="F373">
        <v>0</v>
      </c>
      <c r="G373" t="s">
        <v>54</v>
      </c>
      <c r="H373">
        <f>MAX(IFERROR(VLOOKUP(LOWER(SUBSTITUTE(E373,"*","")),Parameters!$E$2:$F$5,2,FALSE),0),IFERROR(VLOOKUP(LOWER(SUBSTITUTE(G373,"*","")),Parameters!$E$2:$F$5,2,FALSE),0))</f>
        <v>1</v>
      </c>
      <c r="I373" t="s">
        <v>55</v>
      </c>
    </row>
    <row r="374" spans="1:9">
      <c r="A374" t="s">
        <v>471</v>
      </c>
      <c r="B374" t="s">
        <v>249</v>
      </c>
      <c r="C374">
        <v>0</v>
      </c>
      <c r="D374">
        <v>0</v>
      </c>
      <c r="E374" t="s">
        <v>53</v>
      </c>
      <c r="F374">
        <v>0</v>
      </c>
      <c r="G374" t="s">
        <v>54</v>
      </c>
      <c r="H374">
        <f>MAX(IFERROR(VLOOKUP(LOWER(SUBSTITUTE(E374,"*","")),Parameters!$E$2:$F$5,2,FALSE),0),IFERROR(VLOOKUP(LOWER(SUBSTITUTE(G374,"*","")),Parameters!$E$2:$F$5,2,FALSE),0))</f>
        <v>1</v>
      </c>
      <c r="I374" t="s">
        <v>63</v>
      </c>
    </row>
    <row r="375" spans="1:9">
      <c r="A375" t="s">
        <v>472</v>
      </c>
      <c r="B375" t="s">
        <v>52</v>
      </c>
      <c r="C375">
        <v>0</v>
      </c>
      <c r="D375">
        <v>0</v>
      </c>
      <c r="E375" t="s">
        <v>54</v>
      </c>
      <c r="F375">
        <v>1</v>
      </c>
      <c r="G375" t="s">
        <v>83</v>
      </c>
      <c r="H375">
        <f>MAX(IFERROR(VLOOKUP(LOWER(SUBSTITUTE(E375,"*","")),Parameters!$E$2:$F$5,2,FALSE),0),IFERROR(VLOOKUP(LOWER(SUBSTITUTE(G375,"*","")),Parameters!$E$2:$F$5,2,FALSE),0))</f>
        <v>2</v>
      </c>
      <c r="I375" t="s">
        <v>55</v>
      </c>
    </row>
    <row r="376" spans="1:9">
      <c r="A376" t="s">
        <v>473</v>
      </c>
      <c r="B376" t="s">
        <v>52</v>
      </c>
      <c r="C376">
        <v>0</v>
      </c>
      <c r="D376">
        <v>0</v>
      </c>
      <c r="E376" t="s">
        <v>53</v>
      </c>
      <c r="F376">
        <v>0</v>
      </c>
      <c r="G376" t="s">
        <v>53</v>
      </c>
      <c r="H376">
        <f>MAX(IFERROR(VLOOKUP(LOWER(SUBSTITUTE(E376,"*","")),Parameters!$E$2:$F$5,2,FALSE),0),IFERROR(VLOOKUP(LOWER(SUBSTITUTE(G376,"*","")),Parameters!$E$2:$F$5,2,FALSE),0))</f>
        <v>0</v>
      </c>
      <c r="I376" t="s">
        <v>55</v>
      </c>
    </row>
    <row r="377" spans="1:9">
      <c r="A377" t="s">
        <v>474</v>
      </c>
      <c r="B377" t="s">
        <v>52</v>
      </c>
      <c r="C377">
        <v>0</v>
      </c>
      <c r="D377">
        <v>0</v>
      </c>
      <c r="E377" t="s">
        <v>54</v>
      </c>
      <c r="F377">
        <v>1</v>
      </c>
      <c r="G377" t="s">
        <v>83</v>
      </c>
      <c r="H377">
        <f>MAX(IFERROR(VLOOKUP(LOWER(SUBSTITUTE(E377,"*","")),Parameters!$E$2:$F$5,2,FALSE),0),IFERROR(VLOOKUP(LOWER(SUBSTITUTE(G377,"*","")),Parameters!$E$2:$F$5,2,FALSE),0))</f>
        <v>2</v>
      </c>
      <c r="I377" t="s">
        <v>55</v>
      </c>
    </row>
    <row r="378" spans="1:9">
      <c r="A378" t="s">
        <v>475</v>
      </c>
      <c r="B378" t="s">
        <v>52</v>
      </c>
      <c r="C378">
        <v>0</v>
      </c>
      <c r="D378">
        <v>0</v>
      </c>
      <c r="E378" t="s">
        <v>53</v>
      </c>
      <c r="F378">
        <v>0</v>
      </c>
      <c r="G378" t="s">
        <v>54</v>
      </c>
      <c r="H378">
        <f>MAX(IFERROR(VLOOKUP(LOWER(SUBSTITUTE(E378,"*","")),Parameters!$E$2:$F$5,2,FALSE),0),IFERROR(VLOOKUP(LOWER(SUBSTITUTE(G378,"*","")),Parameters!$E$2:$F$5,2,FALSE),0))</f>
        <v>1</v>
      </c>
      <c r="I378" t="s">
        <v>55</v>
      </c>
    </row>
    <row r="379" spans="1:9">
      <c r="A379" t="s">
        <v>476</v>
      </c>
      <c r="B379" t="s">
        <v>52</v>
      </c>
      <c r="C379">
        <v>0</v>
      </c>
      <c r="D379">
        <v>0</v>
      </c>
      <c r="E379" t="s">
        <v>53</v>
      </c>
      <c r="F379">
        <v>0</v>
      </c>
      <c r="G379" t="s">
        <v>53</v>
      </c>
      <c r="H379">
        <f>MAX(IFERROR(VLOOKUP(LOWER(SUBSTITUTE(E379,"*","")),Parameters!$E$2:$F$5,2,FALSE),0),IFERROR(VLOOKUP(LOWER(SUBSTITUTE(G379,"*","")),Parameters!$E$2:$F$5,2,FALSE),0))</f>
        <v>0</v>
      </c>
      <c r="I379" t="s">
        <v>55</v>
      </c>
    </row>
    <row r="380" spans="1:9">
      <c r="A380" t="s">
        <v>477</v>
      </c>
      <c r="B380" t="s">
        <v>52</v>
      </c>
      <c r="C380">
        <v>0</v>
      </c>
      <c r="D380">
        <v>0</v>
      </c>
      <c r="E380" t="s">
        <v>53</v>
      </c>
      <c r="F380">
        <v>0</v>
      </c>
      <c r="G380" t="s">
        <v>54</v>
      </c>
      <c r="H380">
        <f>MAX(IFERROR(VLOOKUP(LOWER(SUBSTITUTE(E380,"*","")),Parameters!$E$2:$F$5,2,FALSE),0),IFERROR(VLOOKUP(LOWER(SUBSTITUTE(G380,"*","")),Parameters!$E$2:$F$5,2,FALSE),0))</f>
        <v>1</v>
      </c>
      <c r="I380" t="s">
        <v>55</v>
      </c>
    </row>
    <row r="381" spans="1:9">
      <c r="A381" t="s">
        <v>478</v>
      </c>
      <c r="B381" t="s">
        <v>52</v>
      </c>
      <c r="C381">
        <v>0</v>
      </c>
      <c r="D381">
        <v>0</v>
      </c>
      <c r="E381" t="s">
        <v>53</v>
      </c>
      <c r="F381">
        <v>0</v>
      </c>
      <c r="G381" t="s">
        <v>54</v>
      </c>
      <c r="H381">
        <f>MAX(IFERROR(VLOOKUP(LOWER(SUBSTITUTE(E381,"*","")),Parameters!$E$2:$F$5,2,FALSE),0),IFERROR(VLOOKUP(LOWER(SUBSTITUTE(G381,"*","")),Parameters!$E$2:$F$5,2,FALSE),0))</f>
        <v>1</v>
      </c>
      <c r="I381" t="s">
        <v>55</v>
      </c>
    </row>
    <row r="382" spans="1:9">
      <c r="A382" t="s">
        <v>479</v>
      </c>
      <c r="B382" t="s">
        <v>52</v>
      </c>
      <c r="C382">
        <v>0</v>
      </c>
      <c r="D382">
        <v>0</v>
      </c>
      <c r="E382" t="s">
        <v>53</v>
      </c>
      <c r="F382">
        <v>0</v>
      </c>
      <c r="G382" t="s">
        <v>54</v>
      </c>
      <c r="H382">
        <f>MAX(IFERROR(VLOOKUP(LOWER(SUBSTITUTE(E382,"*","")),Parameters!$E$2:$F$5,2,FALSE),0),IFERROR(VLOOKUP(LOWER(SUBSTITUTE(G382,"*","")),Parameters!$E$2:$F$5,2,FALSE),0))</f>
        <v>1</v>
      </c>
      <c r="I382" t="s">
        <v>55</v>
      </c>
    </row>
    <row r="383" spans="1:9">
      <c r="A383" t="s">
        <v>480</v>
      </c>
      <c r="B383" t="s">
        <v>52</v>
      </c>
      <c r="C383">
        <v>0</v>
      </c>
      <c r="D383">
        <v>0</v>
      </c>
      <c r="E383" t="s">
        <v>53</v>
      </c>
      <c r="F383">
        <v>0</v>
      </c>
      <c r="G383" t="s">
        <v>54</v>
      </c>
      <c r="H383">
        <f>MAX(IFERROR(VLOOKUP(LOWER(SUBSTITUTE(E383,"*","")),Parameters!$E$2:$F$5,2,FALSE),0),IFERROR(VLOOKUP(LOWER(SUBSTITUTE(G383,"*","")),Parameters!$E$2:$F$5,2,FALSE),0))</f>
        <v>1</v>
      </c>
      <c r="I383" t="s">
        <v>55</v>
      </c>
    </row>
    <row r="384" spans="1:9">
      <c r="A384" t="s">
        <v>481</v>
      </c>
      <c r="B384" t="s">
        <v>52</v>
      </c>
      <c r="C384">
        <v>0</v>
      </c>
      <c r="D384">
        <v>0</v>
      </c>
      <c r="E384" t="s">
        <v>53</v>
      </c>
      <c r="F384">
        <v>0</v>
      </c>
      <c r="G384" t="s">
        <v>54</v>
      </c>
      <c r="H384">
        <f>MAX(IFERROR(VLOOKUP(LOWER(SUBSTITUTE(E384,"*","")),Parameters!$E$2:$F$5,2,FALSE),0),IFERROR(VLOOKUP(LOWER(SUBSTITUTE(G384,"*","")),Parameters!$E$2:$F$5,2,FALSE),0))</f>
        <v>1</v>
      </c>
      <c r="I384" t="s">
        <v>55</v>
      </c>
    </row>
    <row r="385" spans="1:9">
      <c r="A385" t="s">
        <v>482</v>
      </c>
      <c r="B385" t="s">
        <v>52</v>
      </c>
      <c r="C385">
        <v>0</v>
      </c>
      <c r="D385">
        <v>0</v>
      </c>
      <c r="E385" t="s">
        <v>53</v>
      </c>
      <c r="F385">
        <v>0</v>
      </c>
      <c r="G385" t="s">
        <v>54</v>
      </c>
      <c r="H385">
        <f>MAX(IFERROR(VLOOKUP(LOWER(SUBSTITUTE(E385,"*","")),Parameters!$E$2:$F$5,2,FALSE),0),IFERROR(VLOOKUP(LOWER(SUBSTITUTE(G385,"*","")),Parameters!$E$2:$F$5,2,FALSE),0))</f>
        <v>1</v>
      </c>
      <c r="I385" t="s">
        <v>55</v>
      </c>
    </row>
    <row r="386" spans="1:9">
      <c r="A386" t="s">
        <v>483</v>
      </c>
      <c r="B386" t="s">
        <v>52</v>
      </c>
      <c r="C386">
        <v>0</v>
      </c>
      <c r="D386">
        <v>0</v>
      </c>
      <c r="E386" t="s">
        <v>53</v>
      </c>
      <c r="F386">
        <v>0</v>
      </c>
      <c r="G386" t="s">
        <v>54</v>
      </c>
      <c r="H386">
        <f>MAX(IFERROR(VLOOKUP(LOWER(SUBSTITUTE(E386,"*","")),Parameters!$E$2:$F$5,2,FALSE),0),IFERROR(VLOOKUP(LOWER(SUBSTITUTE(G386,"*","")),Parameters!$E$2:$F$5,2,FALSE),0))</f>
        <v>1</v>
      </c>
      <c r="I386" t="s">
        <v>55</v>
      </c>
    </row>
    <row r="387" spans="1:9">
      <c r="A387" t="s">
        <v>484</v>
      </c>
      <c r="B387" t="s">
        <v>52</v>
      </c>
      <c r="C387">
        <v>0</v>
      </c>
      <c r="D387">
        <v>0</v>
      </c>
      <c r="E387" t="s">
        <v>53</v>
      </c>
      <c r="F387">
        <v>0</v>
      </c>
      <c r="G387" t="s">
        <v>53</v>
      </c>
      <c r="H387">
        <f>MAX(IFERROR(VLOOKUP(LOWER(SUBSTITUTE(E387,"*","")),Parameters!$E$2:$F$5,2,FALSE),0),IFERROR(VLOOKUP(LOWER(SUBSTITUTE(G387,"*","")),Parameters!$E$2:$F$5,2,FALSE),0))</f>
        <v>0</v>
      </c>
      <c r="I387" t="s">
        <v>55</v>
      </c>
    </row>
    <row r="388" spans="1:9">
      <c r="A388" t="s">
        <v>485</v>
      </c>
      <c r="B388" t="s">
        <v>52</v>
      </c>
      <c r="C388">
        <v>0</v>
      </c>
      <c r="D388">
        <v>0</v>
      </c>
      <c r="E388" t="s">
        <v>53</v>
      </c>
      <c r="F388">
        <v>0</v>
      </c>
      <c r="G388" t="s">
        <v>53</v>
      </c>
      <c r="H388">
        <f>MAX(IFERROR(VLOOKUP(LOWER(SUBSTITUTE(E388,"*","")),Parameters!$E$2:$F$5,2,FALSE),0),IFERROR(VLOOKUP(LOWER(SUBSTITUTE(G388,"*","")),Parameters!$E$2:$F$5,2,FALSE),0))</f>
        <v>0</v>
      </c>
      <c r="I388" t="s">
        <v>55</v>
      </c>
    </row>
    <row r="389" spans="1:9">
      <c r="A389" t="s">
        <v>486</v>
      </c>
      <c r="B389" t="s">
        <v>52</v>
      </c>
      <c r="C389">
        <v>0</v>
      </c>
      <c r="D389">
        <v>0</v>
      </c>
      <c r="E389" t="s">
        <v>54</v>
      </c>
      <c r="F389">
        <v>0</v>
      </c>
      <c r="G389" t="s">
        <v>54</v>
      </c>
      <c r="H389">
        <f>MAX(IFERROR(VLOOKUP(LOWER(SUBSTITUTE(E389,"*","")),Parameters!$E$2:$F$5,2,FALSE),0),IFERROR(VLOOKUP(LOWER(SUBSTITUTE(G389,"*","")),Parameters!$E$2:$F$5,2,FALSE),0))</f>
        <v>1</v>
      </c>
      <c r="I389" t="s">
        <v>55</v>
      </c>
    </row>
    <row r="390" spans="1:9">
      <c r="A390" t="s">
        <v>487</v>
      </c>
      <c r="B390" t="s">
        <v>52</v>
      </c>
      <c r="C390">
        <v>0</v>
      </c>
      <c r="D390">
        <v>0</v>
      </c>
      <c r="E390" t="s">
        <v>53</v>
      </c>
      <c r="F390">
        <v>0</v>
      </c>
      <c r="G390" t="s">
        <v>53</v>
      </c>
      <c r="H390">
        <f>MAX(IFERROR(VLOOKUP(LOWER(SUBSTITUTE(E390,"*","")),Parameters!$E$2:$F$5,2,FALSE),0),IFERROR(VLOOKUP(LOWER(SUBSTITUTE(G390,"*","")),Parameters!$E$2:$F$5,2,FALSE),0))</f>
        <v>0</v>
      </c>
      <c r="I390" t="s">
        <v>55</v>
      </c>
    </row>
    <row r="391" spans="1:9">
      <c r="A391" t="s">
        <v>488</v>
      </c>
      <c r="B391" t="s">
        <v>52</v>
      </c>
      <c r="C391">
        <v>0</v>
      </c>
      <c r="D391">
        <v>0</v>
      </c>
      <c r="E391" t="s">
        <v>53</v>
      </c>
      <c r="F391">
        <v>0</v>
      </c>
      <c r="G391" t="s">
        <v>54</v>
      </c>
      <c r="H391">
        <f>MAX(IFERROR(VLOOKUP(LOWER(SUBSTITUTE(E391,"*","")),Parameters!$E$2:$F$5,2,FALSE),0),IFERROR(VLOOKUP(LOWER(SUBSTITUTE(G391,"*","")),Parameters!$E$2:$F$5,2,FALSE),0))</f>
        <v>1</v>
      </c>
      <c r="I391" t="s">
        <v>55</v>
      </c>
    </row>
    <row r="392" spans="1:9">
      <c r="A392" t="s">
        <v>489</v>
      </c>
      <c r="B392" t="s">
        <v>52</v>
      </c>
      <c r="C392">
        <v>0</v>
      </c>
      <c r="D392">
        <v>0</v>
      </c>
      <c r="E392" t="s">
        <v>53</v>
      </c>
      <c r="F392">
        <v>0</v>
      </c>
      <c r="G392" t="s">
        <v>54</v>
      </c>
      <c r="H392">
        <f>MAX(IFERROR(VLOOKUP(LOWER(SUBSTITUTE(E392,"*","")),Parameters!$E$2:$F$5,2,FALSE),0),IFERROR(VLOOKUP(LOWER(SUBSTITUTE(G392,"*","")),Parameters!$E$2:$F$5,2,FALSE),0))</f>
        <v>1</v>
      </c>
      <c r="I392" t="s">
        <v>55</v>
      </c>
    </row>
    <row r="393" spans="1:9">
      <c r="A393" t="s">
        <v>490</v>
      </c>
      <c r="B393" t="s">
        <v>92</v>
      </c>
      <c r="C393">
        <v>1</v>
      </c>
      <c r="D393">
        <v>1</v>
      </c>
      <c r="E393" t="s">
        <v>86</v>
      </c>
      <c r="F393">
        <v>1</v>
      </c>
      <c r="G393" t="s">
        <v>86</v>
      </c>
      <c r="H393">
        <f>MAX(IFERROR(VLOOKUP(LOWER(SUBSTITUTE(E393,"*","")),Parameters!$E$2:$F$5,2,FALSE),0),IFERROR(VLOOKUP(LOWER(SUBSTITUTE(G393,"*","")),Parameters!$E$2:$F$5,2,FALSE),0))</f>
        <v>3</v>
      </c>
      <c r="I393" t="s">
        <v>63</v>
      </c>
    </row>
    <row r="394" spans="1:9">
      <c r="A394" t="s">
        <v>491</v>
      </c>
      <c r="B394" t="s">
        <v>52</v>
      </c>
      <c r="C394">
        <v>0</v>
      </c>
      <c r="D394">
        <v>0</v>
      </c>
      <c r="E394" t="s">
        <v>53</v>
      </c>
      <c r="F394">
        <v>0</v>
      </c>
      <c r="G394" t="s">
        <v>53</v>
      </c>
      <c r="H394">
        <f>MAX(IFERROR(VLOOKUP(LOWER(SUBSTITUTE(E394,"*","")),Parameters!$E$2:$F$5,2,FALSE),0),IFERROR(VLOOKUP(LOWER(SUBSTITUTE(G394,"*","")),Parameters!$E$2:$F$5,2,FALSE),0))</f>
        <v>0</v>
      </c>
      <c r="I394" t="s">
        <v>55</v>
      </c>
    </row>
    <row r="395" spans="1:9">
      <c r="A395" t="s">
        <v>492</v>
      </c>
      <c r="B395" t="s">
        <v>52</v>
      </c>
      <c r="C395">
        <v>0</v>
      </c>
      <c r="D395">
        <v>0</v>
      </c>
      <c r="E395" t="s">
        <v>53</v>
      </c>
      <c r="F395">
        <v>0</v>
      </c>
      <c r="G395" t="s">
        <v>54</v>
      </c>
      <c r="H395">
        <f>MAX(IFERROR(VLOOKUP(LOWER(SUBSTITUTE(E395,"*","")),Parameters!$E$2:$F$5,2,FALSE),0),IFERROR(VLOOKUP(LOWER(SUBSTITUTE(G395,"*","")),Parameters!$E$2:$F$5,2,FALSE),0))</f>
        <v>1</v>
      </c>
      <c r="I395" t="s">
        <v>55</v>
      </c>
    </row>
    <row r="396" spans="1:9">
      <c r="A396" t="s">
        <v>493</v>
      </c>
      <c r="B396" t="s">
        <v>106</v>
      </c>
      <c r="C396">
        <v>1</v>
      </c>
      <c r="D396">
        <v>1</v>
      </c>
      <c r="E396" t="s">
        <v>83</v>
      </c>
      <c r="F396">
        <v>1</v>
      </c>
      <c r="G396" t="s">
        <v>83</v>
      </c>
      <c r="H396">
        <f>MAX(IFERROR(VLOOKUP(LOWER(SUBSTITUTE(E396,"*","")),Parameters!$E$2:$F$5,2,FALSE),0),IFERROR(VLOOKUP(LOWER(SUBSTITUTE(G396,"*","")),Parameters!$E$2:$F$5,2,FALSE),0))</f>
        <v>2</v>
      </c>
      <c r="I396" t="s">
        <v>63</v>
      </c>
    </row>
    <row r="397" spans="1:9">
      <c r="A397" t="s">
        <v>494</v>
      </c>
      <c r="B397" t="s">
        <v>52</v>
      </c>
      <c r="C397">
        <v>0</v>
      </c>
      <c r="D397">
        <v>0</v>
      </c>
      <c r="E397" t="s">
        <v>53</v>
      </c>
      <c r="F397">
        <v>0</v>
      </c>
      <c r="G397" t="s">
        <v>54</v>
      </c>
      <c r="H397">
        <f>MAX(IFERROR(VLOOKUP(LOWER(SUBSTITUTE(E397,"*","")),Parameters!$E$2:$F$5,2,FALSE),0),IFERROR(VLOOKUP(LOWER(SUBSTITUTE(G397,"*","")),Parameters!$E$2:$F$5,2,FALSE),0))</f>
        <v>1</v>
      </c>
      <c r="I397" t="s">
        <v>55</v>
      </c>
    </row>
    <row r="398" spans="1:9">
      <c r="A398" t="s">
        <v>495</v>
      </c>
      <c r="B398" t="s">
        <v>52</v>
      </c>
      <c r="C398">
        <v>0</v>
      </c>
      <c r="D398">
        <v>0</v>
      </c>
      <c r="E398" t="s">
        <v>53</v>
      </c>
      <c r="F398">
        <v>0</v>
      </c>
      <c r="G398" t="s">
        <v>54</v>
      </c>
      <c r="H398">
        <f>MAX(IFERROR(VLOOKUP(LOWER(SUBSTITUTE(E398,"*","")),Parameters!$E$2:$F$5,2,FALSE),0),IFERROR(VLOOKUP(LOWER(SUBSTITUTE(G398,"*","")),Parameters!$E$2:$F$5,2,FALSE),0))</f>
        <v>1</v>
      </c>
      <c r="I398" t="s">
        <v>55</v>
      </c>
    </row>
    <row r="399" spans="1:9">
      <c r="A399" t="s">
        <v>496</v>
      </c>
      <c r="B399" t="s">
        <v>52</v>
      </c>
      <c r="C399">
        <v>0</v>
      </c>
      <c r="D399">
        <v>0</v>
      </c>
      <c r="E399" t="s">
        <v>53</v>
      </c>
      <c r="F399">
        <v>0</v>
      </c>
      <c r="G399" t="s">
        <v>53</v>
      </c>
      <c r="H399">
        <f>MAX(IFERROR(VLOOKUP(LOWER(SUBSTITUTE(E399,"*","")),Parameters!$E$2:$F$5,2,FALSE),0),IFERROR(VLOOKUP(LOWER(SUBSTITUTE(G399,"*","")),Parameters!$E$2:$F$5,2,FALSE),0))</f>
        <v>0</v>
      </c>
      <c r="I399" t="s">
        <v>55</v>
      </c>
    </row>
    <row r="400" spans="1:9">
      <c r="A400" t="s">
        <v>497</v>
      </c>
      <c r="B400" t="s">
        <v>498</v>
      </c>
      <c r="C400">
        <v>0</v>
      </c>
      <c r="D400">
        <v>0</v>
      </c>
      <c r="E400" t="s">
        <v>53</v>
      </c>
      <c r="F400">
        <v>0</v>
      </c>
      <c r="G400" t="s">
        <v>54</v>
      </c>
      <c r="H400">
        <f>MAX(IFERROR(VLOOKUP(LOWER(SUBSTITUTE(E400,"*","")),Parameters!$E$2:$F$5,2,FALSE),0),IFERROR(VLOOKUP(LOWER(SUBSTITUTE(G400,"*","")),Parameters!$E$2:$F$5,2,FALSE),0))</f>
        <v>1</v>
      </c>
      <c r="I400" t="s">
        <v>63</v>
      </c>
    </row>
    <row r="401" spans="1:9">
      <c r="A401" t="s">
        <v>499</v>
      </c>
      <c r="B401" t="s">
        <v>170</v>
      </c>
      <c r="C401">
        <v>1</v>
      </c>
      <c r="D401">
        <v>1</v>
      </c>
      <c r="E401" t="s">
        <v>86</v>
      </c>
      <c r="F401">
        <v>1</v>
      </c>
      <c r="G401" t="s">
        <v>83</v>
      </c>
      <c r="H401">
        <f>MAX(IFERROR(VLOOKUP(LOWER(SUBSTITUTE(E401,"*","")),Parameters!$E$2:$F$5,2,FALSE),0),IFERROR(VLOOKUP(LOWER(SUBSTITUTE(G401,"*","")),Parameters!$E$2:$F$5,2,FALSE),0))</f>
        <v>3</v>
      </c>
      <c r="I401" t="s">
        <v>63</v>
      </c>
    </row>
    <row r="402" spans="1:9">
      <c r="A402" t="s">
        <v>500</v>
      </c>
      <c r="B402" t="s">
        <v>52</v>
      </c>
      <c r="C402">
        <v>0</v>
      </c>
      <c r="D402">
        <v>0</v>
      </c>
      <c r="E402" t="s">
        <v>53</v>
      </c>
      <c r="F402">
        <v>0</v>
      </c>
      <c r="G402" t="s">
        <v>54</v>
      </c>
      <c r="H402">
        <f>MAX(IFERROR(VLOOKUP(LOWER(SUBSTITUTE(E402,"*","")),Parameters!$E$2:$F$5,2,FALSE),0),IFERROR(VLOOKUP(LOWER(SUBSTITUTE(G402,"*","")),Parameters!$E$2:$F$5,2,FALSE),0))</f>
        <v>1</v>
      </c>
      <c r="I402" t="s">
        <v>55</v>
      </c>
    </row>
    <row r="403" spans="1:9">
      <c r="A403" t="s">
        <v>501</v>
      </c>
      <c r="B403" t="s">
        <v>52</v>
      </c>
      <c r="C403">
        <v>0</v>
      </c>
      <c r="D403">
        <v>0</v>
      </c>
      <c r="E403" t="s">
        <v>53</v>
      </c>
      <c r="F403">
        <v>1</v>
      </c>
      <c r="G403" t="s">
        <v>83</v>
      </c>
      <c r="H403">
        <f>MAX(IFERROR(VLOOKUP(LOWER(SUBSTITUTE(E403,"*","")),Parameters!$E$2:$F$5,2,FALSE),0),IFERROR(VLOOKUP(LOWER(SUBSTITUTE(G403,"*","")),Parameters!$E$2:$F$5,2,FALSE),0))</f>
        <v>2</v>
      </c>
      <c r="I403" t="s">
        <v>55</v>
      </c>
    </row>
    <row r="404" spans="1:9">
      <c r="A404" t="s">
        <v>502</v>
      </c>
      <c r="B404" t="s">
        <v>85</v>
      </c>
      <c r="C404">
        <v>1</v>
      </c>
      <c r="D404">
        <v>0</v>
      </c>
      <c r="E404" t="s">
        <v>54</v>
      </c>
      <c r="F404">
        <v>1</v>
      </c>
      <c r="G404" t="s">
        <v>86</v>
      </c>
      <c r="H404">
        <f>MAX(IFERROR(VLOOKUP(LOWER(SUBSTITUTE(E404,"*","")),Parameters!$E$2:$F$5,2,FALSE),0),IFERROR(VLOOKUP(LOWER(SUBSTITUTE(G404,"*","")),Parameters!$E$2:$F$5,2,FALSE),0))</f>
        <v>3</v>
      </c>
      <c r="I404" t="s">
        <v>63</v>
      </c>
    </row>
    <row r="405" spans="1:9">
      <c r="A405" t="s">
        <v>503</v>
      </c>
      <c r="B405" t="s">
        <v>165</v>
      </c>
      <c r="C405">
        <v>0</v>
      </c>
      <c r="D405">
        <v>1</v>
      </c>
      <c r="E405" t="s">
        <v>83</v>
      </c>
      <c r="F405">
        <v>1</v>
      </c>
      <c r="G405" t="s">
        <v>83</v>
      </c>
      <c r="H405">
        <f>MAX(IFERROR(VLOOKUP(LOWER(SUBSTITUTE(E405,"*","")),Parameters!$E$2:$F$5,2,FALSE),0),IFERROR(VLOOKUP(LOWER(SUBSTITUTE(G405,"*","")),Parameters!$E$2:$F$5,2,FALSE),0))</f>
        <v>2</v>
      </c>
      <c r="I405" t="s">
        <v>63</v>
      </c>
    </row>
    <row r="406" spans="1:9">
      <c r="A406" t="s">
        <v>504</v>
      </c>
      <c r="B406" t="s">
        <v>232</v>
      </c>
      <c r="C406">
        <v>1</v>
      </c>
      <c r="D406">
        <v>1</v>
      </c>
      <c r="E406" t="s">
        <v>86</v>
      </c>
      <c r="F406">
        <v>0</v>
      </c>
      <c r="G406" t="s">
        <v>54</v>
      </c>
      <c r="H406">
        <f>MAX(IFERROR(VLOOKUP(LOWER(SUBSTITUTE(E406,"*","")),Parameters!$E$2:$F$5,2,FALSE),0),IFERROR(VLOOKUP(LOWER(SUBSTITUTE(G406,"*","")),Parameters!$E$2:$F$5,2,FALSE),0))</f>
        <v>3</v>
      </c>
      <c r="I406" t="s">
        <v>63</v>
      </c>
    </row>
    <row r="407" spans="1:9">
      <c r="A407" t="s">
        <v>505</v>
      </c>
      <c r="B407" t="s">
        <v>150</v>
      </c>
      <c r="C407">
        <v>0</v>
      </c>
      <c r="D407">
        <v>0</v>
      </c>
      <c r="E407" t="s">
        <v>54</v>
      </c>
      <c r="F407">
        <v>1</v>
      </c>
      <c r="G407" t="s">
        <v>83</v>
      </c>
      <c r="H407">
        <f>MAX(IFERROR(VLOOKUP(LOWER(SUBSTITUTE(E407,"*","")),Parameters!$E$2:$F$5,2,FALSE),0),IFERROR(VLOOKUP(LOWER(SUBSTITUTE(G407,"*","")),Parameters!$E$2:$F$5,2,FALSE),0))</f>
        <v>2</v>
      </c>
      <c r="I407" t="s">
        <v>63</v>
      </c>
    </row>
    <row r="408" spans="1:9">
      <c r="A408" t="s">
        <v>506</v>
      </c>
      <c r="B408" t="s">
        <v>52</v>
      </c>
      <c r="C408">
        <v>0</v>
      </c>
      <c r="D408">
        <v>0</v>
      </c>
      <c r="E408" t="s">
        <v>53</v>
      </c>
      <c r="F408">
        <v>0</v>
      </c>
      <c r="G408" t="s">
        <v>54</v>
      </c>
      <c r="H408">
        <f>MAX(IFERROR(VLOOKUP(LOWER(SUBSTITUTE(E408,"*","")),Parameters!$E$2:$F$5,2,FALSE),0),IFERROR(VLOOKUP(LOWER(SUBSTITUTE(G408,"*","")),Parameters!$E$2:$F$5,2,FALSE),0))</f>
        <v>1</v>
      </c>
      <c r="I408" t="s">
        <v>55</v>
      </c>
    </row>
    <row r="409" spans="1:9">
      <c r="A409" t="s">
        <v>507</v>
      </c>
      <c r="B409" t="s">
        <v>52</v>
      </c>
      <c r="C409">
        <v>0</v>
      </c>
      <c r="D409">
        <v>0</v>
      </c>
      <c r="E409" t="s">
        <v>54</v>
      </c>
      <c r="F409">
        <v>1</v>
      </c>
      <c r="G409" t="s">
        <v>83</v>
      </c>
      <c r="H409">
        <f>MAX(IFERROR(VLOOKUP(LOWER(SUBSTITUTE(E409,"*","")),Parameters!$E$2:$F$5,2,FALSE),0),IFERROR(VLOOKUP(LOWER(SUBSTITUTE(G409,"*","")),Parameters!$E$2:$F$5,2,FALSE),0))</f>
        <v>2</v>
      </c>
      <c r="I409" t="s">
        <v>55</v>
      </c>
    </row>
    <row r="410" spans="1:9">
      <c r="A410" t="s">
        <v>508</v>
      </c>
      <c r="B410" t="s">
        <v>52</v>
      </c>
      <c r="C410">
        <v>0</v>
      </c>
      <c r="D410">
        <v>0</v>
      </c>
      <c r="E410" t="s">
        <v>53</v>
      </c>
      <c r="F410">
        <v>0</v>
      </c>
      <c r="G410" t="s">
        <v>53</v>
      </c>
      <c r="H410">
        <f>MAX(IFERROR(VLOOKUP(LOWER(SUBSTITUTE(E410,"*","")),Parameters!$E$2:$F$5,2,FALSE),0),IFERROR(VLOOKUP(LOWER(SUBSTITUTE(G410,"*","")),Parameters!$E$2:$F$5,2,FALSE),0))</f>
        <v>0</v>
      </c>
      <c r="I410" t="s">
        <v>55</v>
      </c>
    </row>
    <row r="411" spans="1:9">
      <c r="A411" t="s">
        <v>509</v>
      </c>
      <c r="B411" t="s">
        <v>52</v>
      </c>
      <c r="C411">
        <v>0</v>
      </c>
      <c r="D411">
        <v>0</v>
      </c>
      <c r="E411" t="s">
        <v>53</v>
      </c>
      <c r="F411">
        <v>0</v>
      </c>
      <c r="G411" t="s">
        <v>53</v>
      </c>
      <c r="H411">
        <f>MAX(IFERROR(VLOOKUP(LOWER(SUBSTITUTE(E411,"*","")),Parameters!$E$2:$F$5,2,FALSE),0),IFERROR(VLOOKUP(LOWER(SUBSTITUTE(G411,"*","")),Parameters!$E$2:$F$5,2,FALSE),0))</f>
        <v>0</v>
      </c>
      <c r="I411" t="s">
        <v>55</v>
      </c>
    </row>
    <row r="412" spans="1:9">
      <c r="A412" t="s">
        <v>510</v>
      </c>
      <c r="B412" t="s">
        <v>52</v>
      </c>
      <c r="C412">
        <v>0</v>
      </c>
      <c r="D412">
        <v>0</v>
      </c>
      <c r="E412" t="s">
        <v>53</v>
      </c>
      <c r="F412">
        <v>0</v>
      </c>
      <c r="G412" t="s">
        <v>54</v>
      </c>
      <c r="H412">
        <f>MAX(IFERROR(VLOOKUP(LOWER(SUBSTITUTE(E412,"*","")),Parameters!$E$2:$F$5,2,FALSE),0),IFERROR(VLOOKUP(LOWER(SUBSTITUTE(G412,"*","")),Parameters!$E$2:$F$5,2,FALSE),0))</f>
        <v>1</v>
      </c>
      <c r="I412" t="s">
        <v>55</v>
      </c>
    </row>
    <row r="413" spans="1:9">
      <c r="A413" t="s">
        <v>511</v>
      </c>
      <c r="B413" t="s">
        <v>498</v>
      </c>
      <c r="C413">
        <v>0</v>
      </c>
      <c r="D413">
        <v>0</v>
      </c>
      <c r="E413" t="s">
        <v>53</v>
      </c>
      <c r="F413">
        <v>0</v>
      </c>
      <c r="G413" t="s">
        <v>54</v>
      </c>
      <c r="H413">
        <f>MAX(IFERROR(VLOOKUP(LOWER(SUBSTITUTE(E413,"*","")),Parameters!$E$2:$F$5,2,FALSE),0),IFERROR(VLOOKUP(LOWER(SUBSTITUTE(G413,"*","")),Parameters!$E$2:$F$5,2,FALSE),0))</f>
        <v>1</v>
      </c>
      <c r="I413" t="s">
        <v>63</v>
      </c>
    </row>
    <row r="414" spans="1:9">
      <c r="A414" t="s">
        <v>512</v>
      </c>
      <c r="B414" t="s">
        <v>62</v>
      </c>
      <c r="C414">
        <v>0</v>
      </c>
      <c r="D414">
        <v>0</v>
      </c>
      <c r="E414" t="s">
        <v>53</v>
      </c>
      <c r="F414">
        <v>0</v>
      </c>
      <c r="G414" t="s">
        <v>53</v>
      </c>
      <c r="H414">
        <f>MAX(IFERROR(VLOOKUP(LOWER(SUBSTITUTE(E414,"*","")),Parameters!$E$2:$F$5,2,FALSE),0),IFERROR(VLOOKUP(LOWER(SUBSTITUTE(G414,"*","")),Parameters!$E$2:$F$5,2,FALSE),0))</f>
        <v>0</v>
      </c>
      <c r="I414" t="s">
        <v>63</v>
      </c>
    </row>
    <row r="415" spans="1:9">
      <c r="A415" t="s">
        <v>513</v>
      </c>
      <c r="B415" t="s">
        <v>52</v>
      </c>
      <c r="C415">
        <v>0</v>
      </c>
      <c r="D415">
        <v>0</v>
      </c>
      <c r="E415" t="s">
        <v>53</v>
      </c>
      <c r="F415">
        <v>0</v>
      </c>
      <c r="G415" t="s">
        <v>53</v>
      </c>
      <c r="H415">
        <f>MAX(IFERROR(VLOOKUP(LOWER(SUBSTITUTE(E415,"*","")),Parameters!$E$2:$F$5,2,FALSE),0),IFERROR(VLOOKUP(LOWER(SUBSTITUTE(G415,"*","")),Parameters!$E$2:$F$5,2,FALSE),0))</f>
        <v>0</v>
      </c>
      <c r="I415" t="s">
        <v>55</v>
      </c>
    </row>
    <row r="416" spans="1:9">
      <c r="A416" t="s">
        <v>514</v>
      </c>
      <c r="B416" t="s">
        <v>515</v>
      </c>
      <c r="C416">
        <v>1</v>
      </c>
      <c r="D416">
        <v>1</v>
      </c>
      <c r="E416" t="s">
        <v>83</v>
      </c>
      <c r="F416">
        <v>1</v>
      </c>
      <c r="G416" t="s">
        <v>83</v>
      </c>
      <c r="H416">
        <f>MAX(IFERROR(VLOOKUP(LOWER(SUBSTITUTE(E416,"*","")),Parameters!$E$2:$F$5,2,FALSE),0),IFERROR(VLOOKUP(LOWER(SUBSTITUTE(G416,"*","")),Parameters!$E$2:$F$5,2,FALSE),0))</f>
        <v>2</v>
      </c>
      <c r="I416" t="s">
        <v>63</v>
      </c>
    </row>
    <row r="417" spans="1:9">
      <c r="A417" t="s">
        <v>516</v>
      </c>
      <c r="B417" t="s">
        <v>52</v>
      </c>
      <c r="C417">
        <v>0</v>
      </c>
      <c r="D417">
        <v>0</v>
      </c>
      <c r="E417" t="s">
        <v>53</v>
      </c>
      <c r="F417">
        <v>0</v>
      </c>
      <c r="G417" t="s">
        <v>54</v>
      </c>
      <c r="H417">
        <f>MAX(IFERROR(VLOOKUP(LOWER(SUBSTITUTE(E417,"*","")),Parameters!$E$2:$F$5,2,FALSE),0),IFERROR(VLOOKUP(LOWER(SUBSTITUTE(G417,"*","")),Parameters!$E$2:$F$5,2,FALSE),0))</f>
        <v>1</v>
      </c>
      <c r="I417" t="s">
        <v>55</v>
      </c>
    </row>
    <row r="418" spans="1:9">
      <c r="A418" t="s">
        <v>517</v>
      </c>
      <c r="B418" t="s">
        <v>52</v>
      </c>
      <c r="C418">
        <v>0</v>
      </c>
      <c r="D418">
        <v>0</v>
      </c>
      <c r="E418" t="s">
        <v>53</v>
      </c>
      <c r="F418">
        <v>0</v>
      </c>
      <c r="G418" t="s">
        <v>53</v>
      </c>
      <c r="H418">
        <f>MAX(IFERROR(VLOOKUP(LOWER(SUBSTITUTE(E418,"*","")),Parameters!$E$2:$F$5,2,FALSE),0),IFERROR(VLOOKUP(LOWER(SUBSTITUTE(G418,"*","")),Parameters!$E$2:$F$5,2,FALSE),0))</f>
        <v>0</v>
      </c>
      <c r="I418" t="s">
        <v>55</v>
      </c>
    </row>
    <row r="419" spans="1:9">
      <c r="A419" t="s">
        <v>518</v>
      </c>
      <c r="B419" t="s">
        <v>52</v>
      </c>
      <c r="C419">
        <v>0</v>
      </c>
      <c r="D419">
        <v>0</v>
      </c>
      <c r="E419" t="s">
        <v>53</v>
      </c>
      <c r="F419">
        <v>1</v>
      </c>
      <c r="G419" t="s">
        <v>83</v>
      </c>
      <c r="H419">
        <f>MAX(IFERROR(VLOOKUP(LOWER(SUBSTITUTE(E419,"*","")),Parameters!$E$2:$F$5,2,FALSE),0),IFERROR(VLOOKUP(LOWER(SUBSTITUTE(G419,"*","")),Parameters!$E$2:$F$5,2,FALSE),0))</f>
        <v>2</v>
      </c>
      <c r="I419" t="s">
        <v>55</v>
      </c>
    </row>
    <row r="420" spans="1:9">
      <c r="A420" t="s">
        <v>519</v>
      </c>
      <c r="B420" t="s">
        <v>52</v>
      </c>
      <c r="C420">
        <v>0</v>
      </c>
      <c r="D420">
        <v>0</v>
      </c>
      <c r="E420" t="s">
        <v>53</v>
      </c>
      <c r="F420">
        <v>0</v>
      </c>
      <c r="G420" t="s">
        <v>53</v>
      </c>
      <c r="H420">
        <f>MAX(IFERROR(VLOOKUP(LOWER(SUBSTITUTE(E420,"*","")),Parameters!$E$2:$F$5,2,FALSE),0),IFERROR(VLOOKUP(LOWER(SUBSTITUTE(G420,"*","")),Parameters!$E$2:$F$5,2,FALSE),0))</f>
        <v>0</v>
      </c>
      <c r="I420" t="s">
        <v>55</v>
      </c>
    </row>
    <row r="421" spans="1:9">
      <c r="A421" t="s">
        <v>520</v>
      </c>
      <c r="B421" t="s">
        <v>52</v>
      </c>
      <c r="C421">
        <v>0</v>
      </c>
      <c r="D421">
        <v>0</v>
      </c>
      <c r="E421" t="s">
        <v>53</v>
      </c>
      <c r="F421">
        <v>1</v>
      </c>
      <c r="G421" t="s">
        <v>83</v>
      </c>
      <c r="H421">
        <f>MAX(IFERROR(VLOOKUP(LOWER(SUBSTITUTE(E421,"*","")),Parameters!$E$2:$F$5,2,FALSE),0),IFERROR(VLOOKUP(LOWER(SUBSTITUTE(G421,"*","")),Parameters!$E$2:$F$5,2,FALSE),0))</f>
        <v>2</v>
      </c>
      <c r="I421" t="s">
        <v>55</v>
      </c>
    </row>
    <row r="422" spans="1:9">
      <c r="A422" t="s">
        <v>521</v>
      </c>
      <c r="B422" t="s">
        <v>52</v>
      </c>
      <c r="C422">
        <v>0</v>
      </c>
      <c r="D422">
        <v>0</v>
      </c>
      <c r="E422" t="s">
        <v>53</v>
      </c>
      <c r="F422">
        <v>1</v>
      </c>
      <c r="G422" t="s">
        <v>83</v>
      </c>
      <c r="H422">
        <f>MAX(IFERROR(VLOOKUP(LOWER(SUBSTITUTE(E422,"*","")),Parameters!$E$2:$F$5,2,FALSE),0),IFERROR(VLOOKUP(LOWER(SUBSTITUTE(G422,"*","")),Parameters!$E$2:$F$5,2,FALSE),0))</f>
        <v>2</v>
      </c>
      <c r="I422" t="s">
        <v>55</v>
      </c>
    </row>
    <row r="423" spans="1:9">
      <c r="A423" t="s">
        <v>522</v>
      </c>
      <c r="B423" t="s">
        <v>52</v>
      </c>
      <c r="C423">
        <v>0</v>
      </c>
      <c r="D423">
        <v>0</v>
      </c>
      <c r="E423" t="s">
        <v>53</v>
      </c>
      <c r="F423">
        <v>0</v>
      </c>
      <c r="G423" t="s">
        <v>54</v>
      </c>
      <c r="H423">
        <f>MAX(IFERROR(VLOOKUP(LOWER(SUBSTITUTE(E423,"*","")),Parameters!$E$2:$F$5,2,FALSE),0),IFERROR(VLOOKUP(LOWER(SUBSTITUTE(G423,"*","")),Parameters!$E$2:$F$5,2,FALSE),0))</f>
        <v>1</v>
      </c>
      <c r="I423" t="s">
        <v>55</v>
      </c>
    </row>
    <row r="424" spans="1:9">
      <c r="A424" t="s">
        <v>523</v>
      </c>
      <c r="B424" t="s">
        <v>106</v>
      </c>
      <c r="C424">
        <v>1</v>
      </c>
      <c r="D424">
        <v>1</v>
      </c>
      <c r="E424" t="s">
        <v>83</v>
      </c>
      <c r="F424">
        <v>1</v>
      </c>
      <c r="G424" t="s">
        <v>86</v>
      </c>
      <c r="H424">
        <f>MAX(IFERROR(VLOOKUP(LOWER(SUBSTITUTE(E424,"*","")),Parameters!$E$2:$F$5,2,FALSE),0),IFERROR(VLOOKUP(LOWER(SUBSTITUTE(G424,"*","")),Parameters!$E$2:$F$5,2,FALSE),0))</f>
        <v>3</v>
      </c>
      <c r="I424" t="s">
        <v>63</v>
      </c>
    </row>
    <row r="425" spans="1:9">
      <c r="A425" t="s">
        <v>524</v>
      </c>
      <c r="B425" t="s">
        <v>425</v>
      </c>
      <c r="C425">
        <v>1</v>
      </c>
      <c r="D425">
        <v>1</v>
      </c>
      <c r="E425" t="s">
        <v>83</v>
      </c>
      <c r="F425">
        <v>1</v>
      </c>
      <c r="G425" t="s">
        <v>83</v>
      </c>
      <c r="H425">
        <f>MAX(IFERROR(VLOOKUP(LOWER(SUBSTITUTE(E425,"*","")),Parameters!$E$2:$F$5,2,FALSE),0),IFERROR(VLOOKUP(LOWER(SUBSTITUTE(G425,"*","")),Parameters!$E$2:$F$5,2,FALSE),0))</f>
        <v>2</v>
      </c>
      <c r="I425" t="s">
        <v>63</v>
      </c>
    </row>
    <row r="426" spans="1:9">
      <c r="A426" t="s">
        <v>525</v>
      </c>
      <c r="B426" t="s">
        <v>52</v>
      </c>
      <c r="C426">
        <v>0</v>
      </c>
      <c r="D426">
        <v>0</v>
      </c>
      <c r="E426" t="s">
        <v>53</v>
      </c>
      <c r="F426">
        <v>0</v>
      </c>
      <c r="G426" t="s">
        <v>53</v>
      </c>
      <c r="H426">
        <f>MAX(IFERROR(VLOOKUP(LOWER(SUBSTITUTE(E426,"*","")),Parameters!$E$2:$F$5,2,FALSE),0),IFERROR(VLOOKUP(LOWER(SUBSTITUTE(G426,"*","")),Parameters!$E$2:$F$5,2,FALSE),0))</f>
        <v>0</v>
      </c>
      <c r="I426" t="s">
        <v>55</v>
      </c>
    </row>
    <row r="427" spans="1:9">
      <c r="A427" t="s">
        <v>526</v>
      </c>
      <c r="B427" t="s">
        <v>52</v>
      </c>
      <c r="C427">
        <v>0</v>
      </c>
      <c r="D427">
        <v>0</v>
      </c>
      <c r="E427" t="s">
        <v>54</v>
      </c>
      <c r="F427">
        <v>1</v>
      </c>
      <c r="G427" t="s">
        <v>86</v>
      </c>
      <c r="H427">
        <f>MAX(IFERROR(VLOOKUP(LOWER(SUBSTITUTE(E427,"*","")),Parameters!$E$2:$F$5,2,FALSE),0),IFERROR(VLOOKUP(LOWER(SUBSTITUTE(G427,"*","")),Parameters!$E$2:$F$5,2,FALSE),0))</f>
        <v>3</v>
      </c>
      <c r="I427" t="s">
        <v>55</v>
      </c>
    </row>
    <row r="428" spans="1:9">
      <c r="A428" t="s">
        <v>527</v>
      </c>
      <c r="B428" t="s">
        <v>154</v>
      </c>
      <c r="C428">
        <v>1</v>
      </c>
      <c r="D428">
        <v>0</v>
      </c>
      <c r="E428" t="s">
        <v>54</v>
      </c>
      <c r="F428">
        <v>1</v>
      </c>
      <c r="G428" t="s">
        <v>83</v>
      </c>
      <c r="H428">
        <f>MAX(IFERROR(VLOOKUP(LOWER(SUBSTITUTE(E428,"*","")),Parameters!$E$2:$F$5,2,FALSE),0),IFERROR(VLOOKUP(LOWER(SUBSTITUTE(G428,"*","")),Parameters!$E$2:$F$5,2,FALSE),0))</f>
        <v>2</v>
      </c>
      <c r="I428" t="s">
        <v>63</v>
      </c>
    </row>
    <row r="429" spans="1:9">
      <c r="A429" t="s">
        <v>528</v>
      </c>
      <c r="B429" t="s">
        <v>52</v>
      </c>
      <c r="C429">
        <v>0</v>
      </c>
      <c r="D429">
        <v>0</v>
      </c>
      <c r="E429" t="s">
        <v>53</v>
      </c>
      <c r="F429">
        <v>0</v>
      </c>
      <c r="G429" t="s">
        <v>53</v>
      </c>
      <c r="H429">
        <f>MAX(IFERROR(VLOOKUP(LOWER(SUBSTITUTE(E429,"*","")),Parameters!$E$2:$F$5,2,FALSE),0),IFERROR(VLOOKUP(LOWER(SUBSTITUTE(G429,"*","")),Parameters!$E$2:$F$5,2,FALSE),0))</f>
        <v>0</v>
      </c>
      <c r="I429" t="s">
        <v>55</v>
      </c>
    </row>
    <row r="430" spans="1:9">
      <c r="A430" t="s">
        <v>529</v>
      </c>
      <c r="B430" t="s">
        <v>52</v>
      </c>
      <c r="C430">
        <v>0</v>
      </c>
      <c r="D430">
        <v>0</v>
      </c>
      <c r="E430" t="s">
        <v>53</v>
      </c>
      <c r="F430">
        <v>0</v>
      </c>
      <c r="G430" t="s">
        <v>53</v>
      </c>
      <c r="H430">
        <f>MAX(IFERROR(VLOOKUP(LOWER(SUBSTITUTE(E430,"*","")),Parameters!$E$2:$F$5,2,FALSE),0),IFERROR(VLOOKUP(LOWER(SUBSTITUTE(G430,"*","")),Parameters!$E$2:$F$5,2,FALSE),0))</f>
        <v>0</v>
      </c>
      <c r="I430" t="s">
        <v>55</v>
      </c>
    </row>
    <row r="431" spans="1:9">
      <c r="A431" t="s">
        <v>530</v>
      </c>
      <c r="B431" t="s">
        <v>165</v>
      </c>
      <c r="C431">
        <v>0</v>
      </c>
      <c r="D431">
        <v>0</v>
      </c>
      <c r="E431" t="s">
        <v>53</v>
      </c>
      <c r="F431">
        <v>1</v>
      </c>
      <c r="G431" t="s">
        <v>83</v>
      </c>
      <c r="H431">
        <f>MAX(IFERROR(VLOOKUP(LOWER(SUBSTITUTE(E431,"*","")),Parameters!$E$2:$F$5,2,FALSE),0),IFERROR(VLOOKUP(LOWER(SUBSTITUTE(G431,"*","")),Parameters!$E$2:$F$5,2,FALSE),0))</f>
        <v>2</v>
      </c>
      <c r="I431" t="s">
        <v>63</v>
      </c>
    </row>
    <row r="432" spans="1:9">
      <c r="A432" t="s">
        <v>531</v>
      </c>
      <c r="B432" t="s">
        <v>52</v>
      </c>
      <c r="C432">
        <v>0</v>
      </c>
      <c r="D432">
        <v>0</v>
      </c>
      <c r="E432" t="s">
        <v>53</v>
      </c>
      <c r="F432">
        <v>0</v>
      </c>
      <c r="G432" t="s">
        <v>53</v>
      </c>
      <c r="H432">
        <f>MAX(IFERROR(VLOOKUP(LOWER(SUBSTITUTE(E432,"*","")),Parameters!$E$2:$F$5,2,FALSE),0),IFERROR(VLOOKUP(LOWER(SUBSTITUTE(G432,"*","")),Parameters!$E$2:$F$5,2,FALSE),0))</f>
        <v>0</v>
      </c>
      <c r="I432" t="s">
        <v>55</v>
      </c>
    </row>
    <row r="433" spans="1:9">
      <c r="A433" t="s">
        <v>532</v>
      </c>
      <c r="B433" t="s">
        <v>52</v>
      </c>
      <c r="C433">
        <v>0</v>
      </c>
      <c r="D433">
        <v>0</v>
      </c>
      <c r="E433" t="s">
        <v>53</v>
      </c>
      <c r="F433">
        <v>0</v>
      </c>
      <c r="G433" t="s">
        <v>53</v>
      </c>
      <c r="H433">
        <f>MAX(IFERROR(VLOOKUP(LOWER(SUBSTITUTE(E433,"*","")),Parameters!$E$2:$F$5,2,FALSE),0),IFERROR(VLOOKUP(LOWER(SUBSTITUTE(G433,"*","")),Parameters!$E$2:$F$5,2,FALSE),0))</f>
        <v>0</v>
      </c>
      <c r="I433" t="s">
        <v>55</v>
      </c>
    </row>
    <row r="434" spans="1:9">
      <c r="A434" t="s">
        <v>533</v>
      </c>
      <c r="B434" t="s">
        <v>52</v>
      </c>
      <c r="C434">
        <v>0</v>
      </c>
      <c r="D434">
        <v>0</v>
      </c>
      <c r="E434" t="s">
        <v>53</v>
      </c>
      <c r="F434">
        <v>1</v>
      </c>
      <c r="G434" t="s">
        <v>83</v>
      </c>
      <c r="H434">
        <f>MAX(IFERROR(VLOOKUP(LOWER(SUBSTITUTE(E434,"*","")),Parameters!$E$2:$F$5,2,FALSE),0),IFERROR(VLOOKUP(LOWER(SUBSTITUTE(G434,"*","")),Parameters!$E$2:$F$5,2,FALSE),0))</f>
        <v>2</v>
      </c>
      <c r="I434" t="s">
        <v>55</v>
      </c>
    </row>
    <row r="435" spans="1:9">
      <c r="A435" t="s">
        <v>534</v>
      </c>
      <c r="B435" t="s">
        <v>52</v>
      </c>
      <c r="C435">
        <v>0</v>
      </c>
      <c r="D435">
        <v>0</v>
      </c>
      <c r="E435" t="s">
        <v>53</v>
      </c>
      <c r="F435">
        <v>0</v>
      </c>
      <c r="G435" t="s">
        <v>54</v>
      </c>
      <c r="H435">
        <f>MAX(IFERROR(VLOOKUP(LOWER(SUBSTITUTE(E435,"*","")),Parameters!$E$2:$F$5,2,FALSE),0),IFERROR(VLOOKUP(LOWER(SUBSTITUTE(G435,"*","")),Parameters!$E$2:$F$5,2,FALSE),0))</f>
        <v>1</v>
      </c>
      <c r="I435" t="s">
        <v>55</v>
      </c>
    </row>
    <row r="436" spans="1:9">
      <c r="A436" t="s">
        <v>535</v>
      </c>
      <c r="B436" t="s">
        <v>52</v>
      </c>
      <c r="C436">
        <v>0</v>
      </c>
      <c r="D436">
        <v>0</v>
      </c>
      <c r="E436" t="s">
        <v>53</v>
      </c>
      <c r="F436">
        <v>0</v>
      </c>
      <c r="G436" t="s">
        <v>54</v>
      </c>
      <c r="H436">
        <f>MAX(IFERROR(VLOOKUP(LOWER(SUBSTITUTE(E436,"*","")),Parameters!$E$2:$F$5,2,FALSE),0),IFERROR(VLOOKUP(LOWER(SUBSTITUTE(G436,"*","")),Parameters!$E$2:$F$5,2,FALSE),0))</f>
        <v>1</v>
      </c>
      <c r="I436" t="s">
        <v>55</v>
      </c>
    </row>
    <row r="437" spans="1:9">
      <c r="A437" t="s">
        <v>536</v>
      </c>
      <c r="B437" t="s">
        <v>52</v>
      </c>
      <c r="C437">
        <v>0</v>
      </c>
      <c r="D437">
        <v>0</v>
      </c>
      <c r="E437" t="s">
        <v>53</v>
      </c>
      <c r="F437">
        <v>0</v>
      </c>
      <c r="G437" t="s">
        <v>53</v>
      </c>
      <c r="H437">
        <f>MAX(IFERROR(VLOOKUP(LOWER(SUBSTITUTE(E437,"*","")),Parameters!$E$2:$F$5,2,FALSE),0),IFERROR(VLOOKUP(LOWER(SUBSTITUTE(G437,"*","")),Parameters!$E$2:$F$5,2,FALSE),0))</f>
        <v>0</v>
      </c>
      <c r="I437" t="s">
        <v>55</v>
      </c>
    </row>
    <row r="438" spans="1:9">
      <c r="A438" t="s">
        <v>537</v>
      </c>
      <c r="B438" t="s">
        <v>52</v>
      </c>
      <c r="C438">
        <v>0</v>
      </c>
      <c r="D438">
        <v>0</v>
      </c>
      <c r="E438" t="s">
        <v>53</v>
      </c>
      <c r="F438">
        <v>0</v>
      </c>
      <c r="G438" t="s">
        <v>53</v>
      </c>
      <c r="H438">
        <f>MAX(IFERROR(VLOOKUP(LOWER(SUBSTITUTE(E438,"*","")),Parameters!$E$2:$F$5,2,FALSE),0),IFERROR(VLOOKUP(LOWER(SUBSTITUTE(G438,"*","")),Parameters!$E$2:$F$5,2,FALSE),0))</f>
        <v>0</v>
      </c>
      <c r="I438" t="s">
        <v>55</v>
      </c>
    </row>
    <row r="439" spans="1:9">
      <c r="A439" t="s">
        <v>538</v>
      </c>
      <c r="B439" t="s">
        <v>52</v>
      </c>
      <c r="C439">
        <v>0</v>
      </c>
      <c r="D439">
        <v>0</v>
      </c>
      <c r="E439" t="s">
        <v>53</v>
      </c>
      <c r="F439">
        <v>0</v>
      </c>
      <c r="G439" t="s">
        <v>53</v>
      </c>
      <c r="H439">
        <f>MAX(IFERROR(VLOOKUP(LOWER(SUBSTITUTE(E439,"*","")),Parameters!$E$2:$F$5,2,FALSE),0),IFERROR(VLOOKUP(LOWER(SUBSTITUTE(G439,"*","")),Parameters!$E$2:$F$5,2,FALSE),0))</f>
        <v>0</v>
      </c>
      <c r="I439" t="s">
        <v>55</v>
      </c>
    </row>
    <row r="440" spans="1:9">
      <c r="A440" t="s">
        <v>539</v>
      </c>
      <c r="B440" t="s">
        <v>52</v>
      </c>
      <c r="C440">
        <v>0</v>
      </c>
      <c r="D440">
        <v>0</v>
      </c>
      <c r="E440" t="s">
        <v>53</v>
      </c>
      <c r="F440">
        <v>0</v>
      </c>
      <c r="G440" t="s">
        <v>53</v>
      </c>
      <c r="H440">
        <f>MAX(IFERROR(VLOOKUP(LOWER(SUBSTITUTE(E440,"*","")),Parameters!$E$2:$F$5,2,FALSE),0),IFERROR(VLOOKUP(LOWER(SUBSTITUTE(G440,"*","")),Parameters!$E$2:$F$5,2,FALSE),0))</f>
        <v>0</v>
      </c>
      <c r="I440" t="s">
        <v>55</v>
      </c>
    </row>
    <row r="441" spans="1:9">
      <c r="A441" t="s">
        <v>540</v>
      </c>
      <c r="B441" t="s">
        <v>52</v>
      </c>
      <c r="C441">
        <v>0</v>
      </c>
      <c r="D441">
        <v>0</v>
      </c>
      <c r="E441" t="s">
        <v>53</v>
      </c>
      <c r="F441">
        <v>0</v>
      </c>
      <c r="G441" t="s">
        <v>54</v>
      </c>
      <c r="H441">
        <f>MAX(IFERROR(VLOOKUP(LOWER(SUBSTITUTE(E441,"*","")),Parameters!$E$2:$F$5,2,FALSE),0),IFERROR(VLOOKUP(LOWER(SUBSTITUTE(G441,"*","")),Parameters!$E$2:$F$5,2,FALSE),0))</f>
        <v>1</v>
      </c>
      <c r="I441" t="s">
        <v>55</v>
      </c>
    </row>
    <row r="442" spans="1:9">
      <c r="A442" t="s">
        <v>541</v>
      </c>
      <c r="B442" t="s">
        <v>52</v>
      </c>
      <c r="C442">
        <v>0</v>
      </c>
      <c r="D442">
        <v>0</v>
      </c>
      <c r="E442" t="s">
        <v>53</v>
      </c>
      <c r="F442">
        <v>0</v>
      </c>
      <c r="G442" t="s">
        <v>53</v>
      </c>
      <c r="H442">
        <f>MAX(IFERROR(VLOOKUP(LOWER(SUBSTITUTE(E442,"*","")),Parameters!$E$2:$F$5,2,FALSE),0),IFERROR(VLOOKUP(LOWER(SUBSTITUTE(G442,"*","")),Parameters!$E$2:$F$5,2,FALSE),0))</f>
        <v>0</v>
      </c>
      <c r="I442" t="s">
        <v>55</v>
      </c>
    </row>
    <row r="443" spans="1:9">
      <c r="A443" t="s">
        <v>542</v>
      </c>
      <c r="B443" t="s">
        <v>52</v>
      </c>
      <c r="C443">
        <v>0</v>
      </c>
      <c r="D443">
        <v>0</v>
      </c>
      <c r="E443" t="s">
        <v>53</v>
      </c>
      <c r="F443">
        <v>0</v>
      </c>
      <c r="G443" t="s">
        <v>53</v>
      </c>
      <c r="H443">
        <f>MAX(IFERROR(VLOOKUP(LOWER(SUBSTITUTE(E443,"*","")),Parameters!$E$2:$F$5,2,FALSE),0),IFERROR(VLOOKUP(LOWER(SUBSTITUTE(G443,"*","")),Parameters!$E$2:$F$5,2,FALSE),0))</f>
        <v>0</v>
      </c>
      <c r="I443" t="s">
        <v>55</v>
      </c>
    </row>
    <row r="444" spans="1:9">
      <c r="A444" t="s">
        <v>543</v>
      </c>
      <c r="B444" t="s">
        <v>52</v>
      </c>
      <c r="C444">
        <v>0</v>
      </c>
      <c r="D444">
        <v>0</v>
      </c>
      <c r="E444" t="s">
        <v>53</v>
      </c>
      <c r="F444">
        <v>0</v>
      </c>
      <c r="G444" t="s">
        <v>53</v>
      </c>
      <c r="H444">
        <f>MAX(IFERROR(VLOOKUP(LOWER(SUBSTITUTE(E444,"*","")),Parameters!$E$2:$F$5,2,FALSE),0),IFERROR(VLOOKUP(LOWER(SUBSTITUTE(G444,"*","")),Parameters!$E$2:$F$5,2,FALSE),0))</f>
        <v>0</v>
      </c>
      <c r="I444" t="s">
        <v>55</v>
      </c>
    </row>
    <row r="445" spans="1:9">
      <c r="A445" t="s">
        <v>544</v>
      </c>
      <c r="B445" t="s">
        <v>52</v>
      </c>
      <c r="C445">
        <v>0</v>
      </c>
      <c r="D445">
        <v>0</v>
      </c>
      <c r="E445" t="s">
        <v>54</v>
      </c>
      <c r="F445">
        <v>0</v>
      </c>
      <c r="G445" t="s">
        <v>54</v>
      </c>
      <c r="H445">
        <f>MAX(IFERROR(VLOOKUP(LOWER(SUBSTITUTE(E445,"*","")),Parameters!$E$2:$F$5,2,FALSE),0),IFERROR(VLOOKUP(LOWER(SUBSTITUTE(G445,"*","")),Parameters!$E$2:$F$5,2,FALSE),0))</f>
        <v>1</v>
      </c>
      <c r="I445" t="s">
        <v>55</v>
      </c>
    </row>
    <row r="446" spans="1:9">
      <c r="A446" t="s">
        <v>545</v>
      </c>
      <c r="B446" t="s">
        <v>52</v>
      </c>
      <c r="C446">
        <v>0</v>
      </c>
      <c r="D446">
        <v>0</v>
      </c>
      <c r="E446" t="s">
        <v>53</v>
      </c>
      <c r="F446">
        <v>0</v>
      </c>
      <c r="G446" t="s">
        <v>54</v>
      </c>
      <c r="H446">
        <f>MAX(IFERROR(VLOOKUP(LOWER(SUBSTITUTE(E446,"*","")),Parameters!$E$2:$F$5,2,FALSE),0),IFERROR(VLOOKUP(LOWER(SUBSTITUTE(G446,"*","")),Parameters!$E$2:$F$5,2,FALSE),0))</f>
        <v>1</v>
      </c>
      <c r="I446" t="s">
        <v>55</v>
      </c>
    </row>
    <row r="447" spans="1:9">
      <c r="A447" t="s">
        <v>546</v>
      </c>
      <c r="B447" t="s">
        <v>52</v>
      </c>
      <c r="C447">
        <v>0</v>
      </c>
      <c r="D447">
        <v>0</v>
      </c>
      <c r="E447" t="s">
        <v>53</v>
      </c>
      <c r="F447">
        <v>0</v>
      </c>
      <c r="G447" t="s">
        <v>54</v>
      </c>
      <c r="H447">
        <f>MAX(IFERROR(VLOOKUP(LOWER(SUBSTITUTE(E447,"*","")),Parameters!$E$2:$F$5,2,FALSE),0),IFERROR(VLOOKUP(LOWER(SUBSTITUTE(G447,"*","")),Parameters!$E$2:$F$5,2,FALSE),0))</f>
        <v>1</v>
      </c>
      <c r="I447" t="s">
        <v>55</v>
      </c>
    </row>
    <row r="448" spans="1:9">
      <c r="A448" t="s">
        <v>547</v>
      </c>
      <c r="B448" t="s">
        <v>52</v>
      </c>
      <c r="C448">
        <v>0</v>
      </c>
      <c r="D448">
        <v>0</v>
      </c>
      <c r="E448" t="s">
        <v>53</v>
      </c>
      <c r="F448">
        <v>0</v>
      </c>
      <c r="G448" t="s">
        <v>53</v>
      </c>
      <c r="H448">
        <f>MAX(IFERROR(VLOOKUP(LOWER(SUBSTITUTE(E448,"*","")),Parameters!$E$2:$F$5,2,FALSE),0),IFERROR(VLOOKUP(LOWER(SUBSTITUTE(G448,"*","")),Parameters!$E$2:$F$5,2,FALSE),0))</f>
        <v>0</v>
      </c>
      <c r="I448" t="s">
        <v>55</v>
      </c>
    </row>
    <row r="449" spans="1:9">
      <c r="A449" t="s">
        <v>548</v>
      </c>
      <c r="B449" t="s">
        <v>339</v>
      </c>
      <c r="C449">
        <v>0</v>
      </c>
      <c r="D449">
        <v>1</v>
      </c>
      <c r="E449" t="s">
        <v>83</v>
      </c>
      <c r="F449">
        <v>1</v>
      </c>
      <c r="G449" t="s">
        <v>83</v>
      </c>
      <c r="H449">
        <f>MAX(IFERROR(VLOOKUP(LOWER(SUBSTITUTE(E449,"*","")),Parameters!$E$2:$F$5,2,FALSE),0),IFERROR(VLOOKUP(LOWER(SUBSTITUTE(G449,"*","")),Parameters!$E$2:$F$5,2,FALSE),0))</f>
        <v>2</v>
      </c>
      <c r="I449" t="s">
        <v>63</v>
      </c>
    </row>
    <row r="450" spans="1:9">
      <c r="A450" t="s">
        <v>549</v>
      </c>
      <c r="B450" t="s">
        <v>52</v>
      </c>
      <c r="C450">
        <v>0</v>
      </c>
      <c r="D450">
        <v>0</v>
      </c>
      <c r="E450" t="s">
        <v>54</v>
      </c>
      <c r="F450">
        <v>0</v>
      </c>
      <c r="G450" t="s">
        <v>54</v>
      </c>
      <c r="H450">
        <f>MAX(IFERROR(VLOOKUP(LOWER(SUBSTITUTE(E450,"*","")),Parameters!$E$2:$F$5,2,FALSE),0),IFERROR(VLOOKUP(LOWER(SUBSTITUTE(G450,"*","")),Parameters!$E$2:$F$5,2,FALSE),0))</f>
        <v>1</v>
      </c>
      <c r="I450" t="s">
        <v>55</v>
      </c>
    </row>
    <row r="451" spans="1:9">
      <c r="A451" t="s">
        <v>550</v>
      </c>
      <c r="B451" t="s">
        <v>551</v>
      </c>
      <c r="C451">
        <v>1</v>
      </c>
      <c r="D451">
        <v>0</v>
      </c>
      <c r="E451" t="s">
        <v>53</v>
      </c>
      <c r="F451">
        <v>1</v>
      </c>
      <c r="G451" t="s">
        <v>83</v>
      </c>
      <c r="H451">
        <f>MAX(IFERROR(VLOOKUP(LOWER(SUBSTITUTE(E451,"*","")),Parameters!$E$2:$F$5,2,FALSE),0),IFERROR(VLOOKUP(LOWER(SUBSTITUTE(G451,"*","")),Parameters!$E$2:$F$5,2,FALSE),0))</f>
        <v>2</v>
      </c>
      <c r="I451" t="s">
        <v>63</v>
      </c>
    </row>
    <row r="452" spans="1:9">
      <c r="A452" t="s">
        <v>552</v>
      </c>
      <c r="B452" t="s">
        <v>52</v>
      </c>
      <c r="C452">
        <v>0</v>
      </c>
      <c r="D452">
        <v>0</v>
      </c>
      <c r="E452" t="s">
        <v>53</v>
      </c>
      <c r="F452">
        <v>0</v>
      </c>
      <c r="G452" t="s">
        <v>53</v>
      </c>
      <c r="H452">
        <f>MAX(IFERROR(VLOOKUP(LOWER(SUBSTITUTE(E452,"*","")),Parameters!$E$2:$F$5,2,FALSE),0),IFERROR(VLOOKUP(LOWER(SUBSTITUTE(G452,"*","")),Parameters!$E$2:$F$5,2,FALSE),0))</f>
        <v>0</v>
      </c>
      <c r="I452" t="s">
        <v>55</v>
      </c>
    </row>
    <row r="453" spans="1:9">
      <c r="A453" t="s">
        <v>553</v>
      </c>
      <c r="B453" t="s">
        <v>52</v>
      </c>
      <c r="C453">
        <v>0</v>
      </c>
      <c r="D453">
        <v>0</v>
      </c>
      <c r="E453" t="s">
        <v>53</v>
      </c>
      <c r="F453">
        <v>0</v>
      </c>
      <c r="G453" t="s">
        <v>53</v>
      </c>
      <c r="H453">
        <f>MAX(IFERROR(VLOOKUP(LOWER(SUBSTITUTE(E453,"*","")),Parameters!$E$2:$F$5,2,FALSE),0),IFERROR(VLOOKUP(LOWER(SUBSTITUTE(G453,"*","")),Parameters!$E$2:$F$5,2,FALSE),0))</f>
        <v>0</v>
      </c>
      <c r="I453" t="s">
        <v>55</v>
      </c>
    </row>
    <row r="454" spans="1:9">
      <c r="A454" t="s">
        <v>554</v>
      </c>
      <c r="B454" t="s">
        <v>555</v>
      </c>
      <c r="C454">
        <v>1</v>
      </c>
      <c r="D454">
        <v>1</v>
      </c>
      <c r="E454" t="s">
        <v>83</v>
      </c>
      <c r="F454">
        <v>1</v>
      </c>
      <c r="G454" t="s">
        <v>86</v>
      </c>
      <c r="H454">
        <f>MAX(IFERROR(VLOOKUP(LOWER(SUBSTITUTE(E454,"*","")),Parameters!$E$2:$F$5,2,FALSE),0),IFERROR(VLOOKUP(LOWER(SUBSTITUTE(G454,"*","")),Parameters!$E$2:$F$5,2,FALSE),0))</f>
        <v>3</v>
      </c>
      <c r="I454" t="s">
        <v>63</v>
      </c>
    </row>
    <row r="455" spans="1:9">
      <c r="A455" t="s">
        <v>556</v>
      </c>
      <c r="B455" t="s">
        <v>125</v>
      </c>
      <c r="C455">
        <v>1</v>
      </c>
      <c r="D455">
        <v>1</v>
      </c>
      <c r="E455" t="s">
        <v>86</v>
      </c>
      <c r="F455">
        <v>1</v>
      </c>
      <c r="G455" t="s">
        <v>83</v>
      </c>
      <c r="H455">
        <f>MAX(IFERROR(VLOOKUP(LOWER(SUBSTITUTE(E455,"*","")),Parameters!$E$2:$F$5,2,FALSE),0),IFERROR(VLOOKUP(LOWER(SUBSTITUTE(G455,"*","")),Parameters!$E$2:$F$5,2,FALSE),0))</f>
        <v>3</v>
      </c>
      <c r="I455" t="s">
        <v>63</v>
      </c>
    </row>
    <row r="456" spans="1:9">
      <c r="A456" t="s">
        <v>557</v>
      </c>
      <c r="B456" t="s">
        <v>52</v>
      </c>
      <c r="C456">
        <v>0</v>
      </c>
      <c r="D456">
        <v>0</v>
      </c>
      <c r="E456" t="s">
        <v>53</v>
      </c>
      <c r="F456">
        <v>0</v>
      </c>
      <c r="G456" t="s">
        <v>54</v>
      </c>
      <c r="H456">
        <f>MAX(IFERROR(VLOOKUP(LOWER(SUBSTITUTE(E456,"*","")),Parameters!$E$2:$F$5,2,FALSE),0),IFERROR(VLOOKUP(LOWER(SUBSTITUTE(G456,"*","")),Parameters!$E$2:$F$5,2,FALSE),0))</f>
        <v>1</v>
      </c>
      <c r="I456" t="s">
        <v>55</v>
      </c>
    </row>
    <row r="457" spans="1:9">
      <c r="A457" t="s">
        <v>558</v>
      </c>
      <c r="B457" t="s">
        <v>52</v>
      </c>
      <c r="C457">
        <v>0</v>
      </c>
      <c r="D457">
        <v>0</v>
      </c>
      <c r="E457" t="s">
        <v>53</v>
      </c>
      <c r="F457">
        <v>0</v>
      </c>
      <c r="G457" t="s">
        <v>54</v>
      </c>
      <c r="H457">
        <f>MAX(IFERROR(VLOOKUP(LOWER(SUBSTITUTE(E457,"*","")),Parameters!$E$2:$F$5,2,FALSE),0),IFERROR(VLOOKUP(LOWER(SUBSTITUTE(G457,"*","")),Parameters!$E$2:$F$5,2,FALSE),0))</f>
        <v>1</v>
      </c>
      <c r="I457" t="s">
        <v>55</v>
      </c>
    </row>
    <row r="458" spans="1:9">
      <c r="A458" t="s">
        <v>559</v>
      </c>
      <c r="B458" t="s">
        <v>146</v>
      </c>
      <c r="C458">
        <v>1</v>
      </c>
      <c r="D458">
        <v>1</v>
      </c>
      <c r="E458" t="s">
        <v>86</v>
      </c>
      <c r="F458">
        <v>1</v>
      </c>
      <c r="G458" t="s">
        <v>83</v>
      </c>
      <c r="H458">
        <f>MAX(IFERROR(VLOOKUP(LOWER(SUBSTITUTE(E458,"*","")),Parameters!$E$2:$F$5,2,FALSE),0),IFERROR(VLOOKUP(LOWER(SUBSTITUTE(G458,"*","")),Parameters!$E$2:$F$5,2,FALSE),0))</f>
        <v>3</v>
      </c>
      <c r="I458" t="s">
        <v>63</v>
      </c>
    </row>
    <row r="459" spans="1:9">
      <c r="A459" t="s">
        <v>560</v>
      </c>
      <c r="B459" t="s">
        <v>52</v>
      </c>
      <c r="C459">
        <v>0</v>
      </c>
      <c r="D459">
        <v>0</v>
      </c>
      <c r="E459" t="s">
        <v>53</v>
      </c>
      <c r="F459">
        <v>0</v>
      </c>
      <c r="G459" t="s">
        <v>53</v>
      </c>
      <c r="H459">
        <f>MAX(IFERROR(VLOOKUP(LOWER(SUBSTITUTE(E459,"*","")),Parameters!$E$2:$F$5,2,FALSE),0),IFERROR(VLOOKUP(LOWER(SUBSTITUTE(G459,"*","")),Parameters!$E$2:$F$5,2,FALSE),0))</f>
        <v>0</v>
      </c>
      <c r="I459" t="s">
        <v>55</v>
      </c>
    </row>
    <row r="460" spans="1:9">
      <c r="A460" t="s">
        <v>561</v>
      </c>
      <c r="B460" t="s">
        <v>52</v>
      </c>
      <c r="C460">
        <v>0</v>
      </c>
      <c r="D460">
        <v>1</v>
      </c>
      <c r="E460" t="s">
        <v>83</v>
      </c>
      <c r="F460">
        <v>1</v>
      </c>
      <c r="G460" t="s">
        <v>83</v>
      </c>
      <c r="H460">
        <f>MAX(IFERROR(VLOOKUP(LOWER(SUBSTITUTE(E460,"*","")),Parameters!$E$2:$F$5,2,FALSE),0),IFERROR(VLOOKUP(LOWER(SUBSTITUTE(G460,"*","")),Parameters!$E$2:$F$5,2,FALSE),0))</f>
        <v>2</v>
      </c>
      <c r="I460" t="s">
        <v>55</v>
      </c>
    </row>
    <row r="461" spans="1:9">
      <c r="A461" t="s">
        <v>562</v>
      </c>
      <c r="B461" t="s">
        <v>52</v>
      </c>
      <c r="C461">
        <v>0</v>
      </c>
      <c r="D461">
        <v>0</v>
      </c>
      <c r="E461" t="s">
        <v>53</v>
      </c>
      <c r="F461">
        <v>0</v>
      </c>
      <c r="G461" t="s">
        <v>54</v>
      </c>
      <c r="H461">
        <f>MAX(IFERROR(VLOOKUP(LOWER(SUBSTITUTE(E461,"*","")),Parameters!$E$2:$F$5,2,FALSE),0),IFERROR(VLOOKUP(LOWER(SUBSTITUTE(G461,"*","")),Parameters!$E$2:$F$5,2,FALSE),0))</f>
        <v>1</v>
      </c>
      <c r="I461" t="s">
        <v>55</v>
      </c>
    </row>
    <row r="462" spans="1:9">
      <c r="A462" t="s">
        <v>563</v>
      </c>
      <c r="B462" t="s">
        <v>52</v>
      </c>
      <c r="C462">
        <v>0</v>
      </c>
      <c r="D462">
        <v>0</v>
      </c>
      <c r="E462" t="s">
        <v>53</v>
      </c>
      <c r="F462">
        <v>0</v>
      </c>
      <c r="G462" t="s">
        <v>53</v>
      </c>
      <c r="H462">
        <f>MAX(IFERROR(VLOOKUP(LOWER(SUBSTITUTE(E462,"*","")),Parameters!$E$2:$F$5,2,FALSE),0),IFERROR(VLOOKUP(LOWER(SUBSTITUTE(G462,"*","")),Parameters!$E$2:$F$5,2,FALSE),0))</f>
        <v>0</v>
      </c>
      <c r="I462" t="s">
        <v>55</v>
      </c>
    </row>
    <row r="463" spans="1:9">
      <c r="A463" t="s">
        <v>564</v>
      </c>
      <c r="B463" t="s">
        <v>52</v>
      </c>
      <c r="C463">
        <v>0</v>
      </c>
      <c r="D463">
        <v>0</v>
      </c>
      <c r="E463" t="s">
        <v>53</v>
      </c>
      <c r="F463">
        <v>0</v>
      </c>
      <c r="G463" t="s">
        <v>53</v>
      </c>
      <c r="H463">
        <f>MAX(IFERROR(VLOOKUP(LOWER(SUBSTITUTE(E463,"*","")),Parameters!$E$2:$F$5,2,FALSE),0),IFERROR(VLOOKUP(LOWER(SUBSTITUTE(G463,"*","")),Parameters!$E$2:$F$5,2,FALSE),0))</f>
        <v>0</v>
      </c>
      <c r="I463" t="s">
        <v>55</v>
      </c>
    </row>
    <row r="464" spans="1:9">
      <c r="A464" t="s">
        <v>565</v>
      </c>
      <c r="B464" t="s">
        <v>52</v>
      </c>
      <c r="C464">
        <v>0</v>
      </c>
      <c r="D464">
        <v>0</v>
      </c>
      <c r="E464" t="s">
        <v>53</v>
      </c>
      <c r="F464">
        <v>0</v>
      </c>
      <c r="G464" t="s">
        <v>53</v>
      </c>
      <c r="H464">
        <f>MAX(IFERROR(VLOOKUP(LOWER(SUBSTITUTE(E464,"*","")),Parameters!$E$2:$F$5,2,FALSE),0),IFERROR(VLOOKUP(LOWER(SUBSTITUTE(G464,"*","")),Parameters!$E$2:$F$5,2,FALSE),0))</f>
        <v>0</v>
      </c>
      <c r="I464" t="s">
        <v>55</v>
      </c>
    </row>
    <row r="465" spans="1:9">
      <c r="A465" t="s">
        <v>566</v>
      </c>
      <c r="B465" t="s">
        <v>52</v>
      </c>
      <c r="C465">
        <v>0</v>
      </c>
      <c r="D465">
        <v>1</v>
      </c>
      <c r="E465" t="s">
        <v>86</v>
      </c>
      <c r="F465">
        <v>1</v>
      </c>
      <c r="G465" t="s">
        <v>86</v>
      </c>
      <c r="H465">
        <f>MAX(IFERROR(VLOOKUP(LOWER(SUBSTITUTE(E465,"*","")),Parameters!$E$2:$F$5,2,FALSE),0),IFERROR(VLOOKUP(LOWER(SUBSTITUTE(G465,"*","")),Parameters!$E$2:$F$5,2,FALSE),0))</f>
        <v>3</v>
      </c>
      <c r="I465" t="s">
        <v>55</v>
      </c>
    </row>
    <row r="466" spans="1:9">
      <c r="A466" t="s">
        <v>567</v>
      </c>
      <c r="B466" t="s">
        <v>52</v>
      </c>
      <c r="C466">
        <v>0</v>
      </c>
      <c r="D466">
        <v>1</v>
      </c>
      <c r="E466" t="s">
        <v>83</v>
      </c>
      <c r="F466">
        <v>0</v>
      </c>
      <c r="G466" t="s">
        <v>53</v>
      </c>
      <c r="H466">
        <f>MAX(IFERROR(VLOOKUP(LOWER(SUBSTITUTE(E466,"*","")),Parameters!$E$2:$F$5,2,FALSE),0),IFERROR(VLOOKUP(LOWER(SUBSTITUTE(G466,"*","")),Parameters!$E$2:$F$5,2,FALSE),0))</f>
        <v>2</v>
      </c>
      <c r="I466" t="s">
        <v>55</v>
      </c>
    </row>
    <row r="467" spans="1:9">
      <c r="A467" t="s">
        <v>568</v>
      </c>
      <c r="B467" t="s">
        <v>52</v>
      </c>
      <c r="C467">
        <v>0</v>
      </c>
      <c r="D467">
        <v>0</v>
      </c>
      <c r="E467" t="s">
        <v>53</v>
      </c>
      <c r="F467">
        <v>0</v>
      </c>
      <c r="G467" t="s">
        <v>53</v>
      </c>
      <c r="H467">
        <f>MAX(IFERROR(VLOOKUP(LOWER(SUBSTITUTE(E467,"*","")),Parameters!$E$2:$F$5,2,FALSE),0),IFERROR(VLOOKUP(LOWER(SUBSTITUTE(G467,"*","")),Parameters!$E$2:$F$5,2,FALSE),0))</f>
        <v>0</v>
      </c>
      <c r="I467" t="s">
        <v>55</v>
      </c>
    </row>
    <row r="468" spans="1:9">
      <c r="A468" t="s">
        <v>569</v>
      </c>
      <c r="B468" t="s">
        <v>52</v>
      </c>
      <c r="C468">
        <v>0</v>
      </c>
      <c r="D468">
        <v>0</v>
      </c>
      <c r="E468" t="s">
        <v>53</v>
      </c>
      <c r="F468">
        <v>0</v>
      </c>
      <c r="G468" t="s">
        <v>53</v>
      </c>
      <c r="H468">
        <f>MAX(IFERROR(VLOOKUP(LOWER(SUBSTITUTE(E468,"*","")),Parameters!$E$2:$F$5,2,FALSE),0),IFERROR(VLOOKUP(LOWER(SUBSTITUTE(G468,"*","")),Parameters!$E$2:$F$5,2,FALSE),0))</f>
        <v>0</v>
      </c>
      <c r="I468" t="s">
        <v>55</v>
      </c>
    </row>
    <row r="469" spans="1:9">
      <c r="A469" t="s">
        <v>570</v>
      </c>
      <c r="B469" t="s">
        <v>52</v>
      </c>
      <c r="C469">
        <v>0</v>
      </c>
      <c r="D469">
        <v>0</v>
      </c>
      <c r="E469" t="s">
        <v>53</v>
      </c>
      <c r="F469">
        <v>0</v>
      </c>
      <c r="G469" t="s">
        <v>53</v>
      </c>
      <c r="H469">
        <f>MAX(IFERROR(VLOOKUP(LOWER(SUBSTITUTE(E469,"*","")),Parameters!$E$2:$F$5,2,FALSE),0),IFERROR(VLOOKUP(LOWER(SUBSTITUTE(G469,"*","")),Parameters!$E$2:$F$5,2,FALSE),0))</f>
        <v>0</v>
      </c>
      <c r="I469" t="s">
        <v>55</v>
      </c>
    </row>
    <row r="470" spans="1:9">
      <c r="A470" t="s">
        <v>571</v>
      </c>
      <c r="B470" t="s">
        <v>52</v>
      </c>
      <c r="C470">
        <v>0</v>
      </c>
      <c r="D470">
        <v>1</v>
      </c>
      <c r="E470" t="s">
        <v>86</v>
      </c>
      <c r="F470">
        <v>1</v>
      </c>
      <c r="G470" t="s">
        <v>83</v>
      </c>
      <c r="H470">
        <f>MAX(IFERROR(VLOOKUP(LOWER(SUBSTITUTE(E470,"*","")),Parameters!$E$2:$F$5,2,FALSE),0),IFERROR(VLOOKUP(LOWER(SUBSTITUTE(G470,"*","")),Parameters!$E$2:$F$5,2,FALSE),0))</f>
        <v>3</v>
      </c>
      <c r="I470" t="s">
        <v>55</v>
      </c>
    </row>
    <row r="471" spans="1:9">
      <c r="A471" t="s">
        <v>572</v>
      </c>
      <c r="B471" t="s">
        <v>52</v>
      </c>
      <c r="C471">
        <v>0</v>
      </c>
      <c r="D471">
        <v>0</v>
      </c>
      <c r="E471" t="s">
        <v>53</v>
      </c>
      <c r="F471">
        <v>0</v>
      </c>
      <c r="G471" t="s">
        <v>54</v>
      </c>
      <c r="H471">
        <f>MAX(IFERROR(VLOOKUP(LOWER(SUBSTITUTE(E471,"*","")),Parameters!$E$2:$F$5,2,FALSE),0),IFERROR(VLOOKUP(LOWER(SUBSTITUTE(G471,"*","")),Parameters!$E$2:$F$5,2,FALSE),0))</f>
        <v>1</v>
      </c>
      <c r="I471" t="s">
        <v>55</v>
      </c>
    </row>
    <row r="472" spans="1:9">
      <c r="A472" t="s">
        <v>573</v>
      </c>
      <c r="B472" t="s">
        <v>52</v>
      </c>
      <c r="C472">
        <v>0</v>
      </c>
      <c r="D472">
        <v>0</v>
      </c>
      <c r="E472" t="s">
        <v>53</v>
      </c>
      <c r="F472">
        <v>1</v>
      </c>
      <c r="G472" t="s">
        <v>86</v>
      </c>
      <c r="H472">
        <f>MAX(IFERROR(VLOOKUP(LOWER(SUBSTITUTE(E472,"*","")),Parameters!$E$2:$F$5,2,FALSE),0),IFERROR(VLOOKUP(LOWER(SUBSTITUTE(G472,"*","")),Parameters!$E$2:$F$5,2,FALSE),0))</f>
        <v>3</v>
      </c>
      <c r="I472" t="s">
        <v>55</v>
      </c>
    </row>
    <row r="473" spans="1:9">
      <c r="A473" t="s">
        <v>574</v>
      </c>
      <c r="B473" t="s">
        <v>106</v>
      </c>
      <c r="C473">
        <v>1</v>
      </c>
      <c r="D473">
        <v>1</v>
      </c>
      <c r="E473" t="s">
        <v>83</v>
      </c>
      <c r="F473">
        <v>1</v>
      </c>
      <c r="G473" t="s">
        <v>83</v>
      </c>
      <c r="H473">
        <f>MAX(IFERROR(VLOOKUP(LOWER(SUBSTITUTE(E473,"*","")),Parameters!$E$2:$F$5,2,FALSE),0),IFERROR(VLOOKUP(LOWER(SUBSTITUTE(G473,"*","")),Parameters!$E$2:$F$5,2,FALSE),0))</f>
        <v>2</v>
      </c>
      <c r="I473" t="s">
        <v>63</v>
      </c>
    </row>
    <row r="474" spans="1:9">
      <c r="A474" t="s">
        <v>575</v>
      </c>
      <c r="B474" t="s">
        <v>52</v>
      </c>
      <c r="C474">
        <v>0</v>
      </c>
      <c r="D474">
        <v>0</v>
      </c>
      <c r="E474" t="s">
        <v>53</v>
      </c>
      <c r="F474">
        <v>0</v>
      </c>
      <c r="G474" t="s">
        <v>54</v>
      </c>
      <c r="H474">
        <f>MAX(IFERROR(VLOOKUP(LOWER(SUBSTITUTE(E474,"*","")),Parameters!$E$2:$F$5,2,FALSE),0),IFERROR(VLOOKUP(LOWER(SUBSTITUTE(G474,"*","")),Parameters!$E$2:$F$5,2,FALSE),0))</f>
        <v>1</v>
      </c>
      <c r="I474" t="s">
        <v>55</v>
      </c>
    </row>
    <row r="475" spans="1:9">
      <c r="A475" t="s">
        <v>576</v>
      </c>
      <c r="B475" t="s">
        <v>52</v>
      </c>
      <c r="C475">
        <v>0</v>
      </c>
      <c r="D475">
        <v>0</v>
      </c>
      <c r="E475" t="s">
        <v>54</v>
      </c>
      <c r="F475">
        <v>0</v>
      </c>
      <c r="G475" t="s">
        <v>53</v>
      </c>
      <c r="H475">
        <f>MAX(IFERROR(VLOOKUP(LOWER(SUBSTITUTE(E475,"*","")),Parameters!$E$2:$F$5,2,FALSE),0),IFERROR(VLOOKUP(LOWER(SUBSTITUTE(G475,"*","")),Parameters!$E$2:$F$5,2,FALSE),0))</f>
        <v>1</v>
      </c>
      <c r="I475" t="s">
        <v>55</v>
      </c>
    </row>
    <row r="476" spans="1:9">
      <c r="A476" t="s">
        <v>577</v>
      </c>
      <c r="B476" t="s">
        <v>52</v>
      </c>
      <c r="C476">
        <v>0</v>
      </c>
      <c r="D476">
        <v>0</v>
      </c>
      <c r="E476" t="s">
        <v>53</v>
      </c>
      <c r="F476">
        <v>0</v>
      </c>
      <c r="G476" t="s">
        <v>54</v>
      </c>
      <c r="H476">
        <f>MAX(IFERROR(VLOOKUP(LOWER(SUBSTITUTE(E476,"*","")),Parameters!$E$2:$F$5,2,FALSE),0),IFERROR(VLOOKUP(LOWER(SUBSTITUTE(G476,"*","")),Parameters!$E$2:$F$5,2,FALSE),0))</f>
        <v>1</v>
      </c>
      <c r="I476" t="s">
        <v>55</v>
      </c>
    </row>
    <row r="477" spans="1:9">
      <c r="A477" t="s">
        <v>578</v>
      </c>
      <c r="B477" t="s">
        <v>52</v>
      </c>
      <c r="C477">
        <v>0</v>
      </c>
      <c r="D477">
        <v>0</v>
      </c>
      <c r="E477" t="s">
        <v>53</v>
      </c>
      <c r="F477">
        <v>0</v>
      </c>
      <c r="G477" t="s">
        <v>54</v>
      </c>
      <c r="H477">
        <f>MAX(IFERROR(VLOOKUP(LOWER(SUBSTITUTE(E477,"*","")),Parameters!$E$2:$F$5,2,FALSE),0),IFERROR(VLOOKUP(LOWER(SUBSTITUTE(G477,"*","")),Parameters!$E$2:$F$5,2,FALSE),0))</f>
        <v>1</v>
      </c>
      <c r="I477" t="s">
        <v>55</v>
      </c>
    </row>
    <row r="478" spans="1:9">
      <c r="A478" t="s">
        <v>579</v>
      </c>
      <c r="B478" t="s">
        <v>52</v>
      </c>
      <c r="C478">
        <v>0</v>
      </c>
      <c r="D478">
        <v>0</v>
      </c>
      <c r="E478" t="s">
        <v>53</v>
      </c>
      <c r="F478">
        <v>0</v>
      </c>
      <c r="G478" t="s">
        <v>53</v>
      </c>
      <c r="H478">
        <f>MAX(IFERROR(VLOOKUP(LOWER(SUBSTITUTE(E478,"*","")),Parameters!$E$2:$F$5,2,FALSE),0),IFERROR(VLOOKUP(LOWER(SUBSTITUTE(G478,"*","")),Parameters!$E$2:$F$5,2,FALSE),0))</f>
        <v>0</v>
      </c>
      <c r="I478" t="s">
        <v>55</v>
      </c>
    </row>
    <row r="479" spans="1:9">
      <c r="A479" t="s">
        <v>580</v>
      </c>
      <c r="B479" t="s">
        <v>421</v>
      </c>
      <c r="C479">
        <v>0</v>
      </c>
      <c r="D479">
        <v>0</v>
      </c>
      <c r="E479" t="s">
        <v>53</v>
      </c>
      <c r="F479">
        <v>1</v>
      </c>
      <c r="G479" t="s">
        <v>86</v>
      </c>
      <c r="H479">
        <f>MAX(IFERROR(VLOOKUP(LOWER(SUBSTITUTE(E479,"*","")),Parameters!$E$2:$F$5,2,FALSE),0),IFERROR(VLOOKUP(LOWER(SUBSTITUTE(G479,"*","")),Parameters!$E$2:$F$5,2,FALSE),0))</f>
        <v>3</v>
      </c>
      <c r="I479" t="s">
        <v>63</v>
      </c>
    </row>
    <row r="480" spans="1:9">
      <c r="A480" t="s">
        <v>581</v>
      </c>
      <c r="B480" t="s">
        <v>52</v>
      </c>
      <c r="C480">
        <v>0</v>
      </c>
      <c r="D480">
        <v>0</v>
      </c>
      <c r="E480" t="s">
        <v>54</v>
      </c>
      <c r="F480">
        <v>0</v>
      </c>
      <c r="G480" t="s">
        <v>54</v>
      </c>
      <c r="H480">
        <f>MAX(IFERROR(VLOOKUP(LOWER(SUBSTITUTE(E480,"*","")),Parameters!$E$2:$F$5,2,FALSE),0),IFERROR(VLOOKUP(LOWER(SUBSTITUTE(G480,"*","")),Parameters!$E$2:$F$5,2,FALSE),0))</f>
        <v>1</v>
      </c>
      <c r="I480" t="s">
        <v>55</v>
      </c>
    </row>
    <row r="481" spans="1:9">
      <c r="A481" t="s">
        <v>582</v>
      </c>
      <c r="B481" t="s">
        <v>52</v>
      </c>
      <c r="C481">
        <v>0</v>
      </c>
      <c r="D481">
        <v>0</v>
      </c>
      <c r="E481" t="s">
        <v>53</v>
      </c>
      <c r="F481">
        <v>0</v>
      </c>
      <c r="G481" t="s">
        <v>54</v>
      </c>
      <c r="H481">
        <f>MAX(IFERROR(VLOOKUP(LOWER(SUBSTITUTE(E481,"*","")),Parameters!$E$2:$F$5,2,FALSE),0),IFERROR(VLOOKUP(LOWER(SUBSTITUTE(G481,"*","")),Parameters!$E$2:$F$5,2,FALSE),0))</f>
        <v>1</v>
      </c>
      <c r="I481" t="s">
        <v>55</v>
      </c>
    </row>
    <row r="482" spans="1:9">
      <c r="A482" t="s">
        <v>583</v>
      </c>
      <c r="B482" t="s">
        <v>52</v>
      </c>
      <c r="C482">
        <v>0</v>
      </c>
      <c r="D482">
        <v>0</v>
      </c>
      <c r="E482" t="s">
        <v>53</v>
      </c>
      <c r="F482">
        <v>0</v>
      </c>
      <c r="G482" t="s">
        <v>54</v>
      </c>
      <c r="H482">
        <f>MAX(IFERROR(VLOOKUP(LOWER(SUBSTITUTE(E482,"*","")),Parameters!$E$2:$F$5,2,FALSE),0),IFERROR(VLOOKUP(LOWER(SUBSTITUTE(G482,"*","")),Parameters!$E$2:$F$5,2,FALSE),0))</f>
        <v>1</v>
      </c>
      <c r="I482" t="s">
        <v>55</v>
      </c>
    </row>
    <row r="483" spans="1:9">
      <c r="A483" t="s">
        <v>584</v>
      </c>
      <c r="B483" t="s">
        <v>52</v>
      </c>
      <c r="C483">
        <v>0</v>
      </c>
      <c r="D483">
        <v>0</v>
      </c>
      <c r="E483" t="s">
        <v>53</v>
      </c>
      <c r="F483">
        <v>0</v>
      </c>
      <c r="G483" t="s">
        <v>54</v>
      </c>
      <c r="H483">
        <f>MAX(IFERROR(VLOOKUP(LOWER(SUBSTITUTE(E483,"*","")),Parameters!$E$2:$F$5,2,FALSE),0),IFERROR(VLOOKUP(LOWER(SUBSTITUTE(G483,"*","")),Parameters!$E$2:$F$5,2,FALSE),0))</f>
        <v>1</v>
      </c>
      <c r="I483" t="s">
        <v>55</v>
      </c>
    </row>
    <row r="484" spans="1:9">
      <c r="A484" t="s">
        <v>585</v>
      </c>
      <c r="B484" t="s">
        <v>52</v>
      </c>
      <c r="C484">
        <v>0</v>
      </c>
      <c r="D484">
        <v>0</v>
      </c>
      <c r="E484" t="s">
        <v>53</v>
      </c>
      <c r="F484">
        <v>0</v>
      </c>
      <c r="G484" t="s">
        <v>53</v>
      </c>
      <c r="H484">
        <f>MAX(IFERROR(VLOOKUP(LOWER(SUBSTITUTE(E484,"*","")),Parameters!$E$2:$F$5,2,FALSE),0),IFERROR(VLOOKUP(LOWER(SUBSTITUTE(G484,"*","")),Parameters!$E$2:$F$5,2,FALSE),0))</f>
        <v>0</v>
      </c>
      <c r="I484" t="s">
        <v>55</v>
      </c>
    </row>
    <row r="485" spans="1:9">
      <c r="A485" t="s">
        <v>586</v>
      </c>
      <c r="B485" t="s">
        <v>52</v>
      </c>
      <c r="C485">
        <v>0</v>
      </c>
      <c r="D485">
        <v>0</v>
      </c>
      <c r="E485" t="s">
        <v>53</v>
      </c>
      <c r="F485">
        <v>0</v>
      </c>
      <c r="G485" t="s">
        <v>53</v>
      </c>
      <c r="H485">
        <f>MAX(IFERROR(VLOOKUP(LOWER(SUBSTITUTE(E485,"*","")),Parameters!$E$2:$F$5,2,FALSE),0),IFERROR(VLOOKUP(LOWER(SUBSTITUTE(G485,"*","")),Parameters!$E$2:$F$5,2,FALSE),0))</f>
        <v>0</v>
      </c>
      <c r="I485" t="s">
        <v>55</v>
      </c>
    </row>
    <row r="486" spans="1:9">
      <c r="A486" t="s">
        <v>587</v>
      </c>
      <c r="B486" t="s">
        <v>106</v>
      </c>
      <c r="C486">
        <v>1</v>
      </c>
      <c r="D486">
        <v>0</v>
      </c>
      <c r="E486" t="s">
        <v>54</v>
      </c>
      <c r="F486">
        <v>1</v>
      </c>
      <c r="G486" t="s">
        <v>83</v>
      </c>
      <c r="H486">
        <f>MAX(IFERROR(VLOOKUP(LOWER(SUBSTITUTE(E486,"*","")),Parameters!$E$2:$F$5,2,FALSE),0),IFERROR(VLOOKUP(LOWER(SUBSTITUTE(G486,"*","")),Parameters!$E$2:$F$5,2,FALSE),0))</f>
        <v>2</v>
      </c>
      <c r="I486" t="s">
        <v>63</v>
      </c>
    </row>
    <row r="487" spans="1:9">
      <c r="A487" t="s">
        <v>588</v>
      </c>
      <c r="B487" t="s">
        <v>103</v>
      </c>
      <c r="C487">
        <v>0</v>
      </c>
      <c r="D487">
        <v>0</v>
      </c>
      <c r="E487" t="s">
        <v>53</v>
      </c>
      <c r="F487">
        <v>0</v>
      </c>
      <c r="G487" t="s">
        <v>53</v>
      </c>
      <c r="H487">
        <f>MAX(IFERROR(VLOOKUP(LOWER(SUBSTITUTE(E487,"*","")),Parameters!$E$2:$F$5,2,FALSE),0),IFERROR(VLOOKUP(LOWER(SUBSTITUTE(G487,"*","")),Parameters!$E$2:$F$5,2,FALSE),0))</f>
        <v>0</v>
      </c>
      <c r="I487" t="s">
        <v>63</v>
      </c>
    </row>
    <row r="488" spans="1:9">
      <c r="A488" t="s">
        <v>589</v>
      </c>
      <c r="B488" t="s">
        <v>52</v>
      </c>
      <c r="C488">
        <v>0</v>
      </c>
      <c r="D488">
        <v>0</v>
      </c>
      <c r="E488" t="s">
        <v>53</v>
      </c>
      <c r="F488">
        <v>0</v>
      </c>
      <c r="G488" t="s">
        <v>54</v>
      </c>
      <c r="H488">
        <f>MAX(IFERROR(VLOOKUP(LOWER(SUBSTITUTE(E488,"*","")),Parameters!$E$2:$F$5,2,FALSE),0),IFERROR(VLOOKUP(LOWER(SUBSTITUTE(G488,"*","")),Parameters!$E$2:$F$5,2,FALSE),0))</f>
        <v>1</v>
      </c>
      <c r="I488" t="s">
        <v>55</v>
      </c>
    </row>
    <row r="489" spans="1:9">
      <c r="A489" t="s">
        <v>590</v>
      </c>
      <c r="B489" t="s">
        <v>52</v>
      </c>
      <c r="C489">
        <v>0</v>
      </c>
      <c r="D489">
        <v>0</v>
      </c>
      <c r="E489" t="s">
        <v>53</v>
      </c>
      <c r="F489">
        <v>0</v>
      </c>
      <c r="G489" t="s">
        <v>54</v>
      </c>
      <c r="H489">
        <f>MAX(IFERROR(VLOOKUP(LOWER(SUBSTITUTE(E489,"*","")),Parameters!$E$2:$F$5,2,FALSE),0),IFERROR(VLOOKUP(LOWER(SUBSTITUTE(G489,"*","")),Parameters!$E$2:$F$5,2,FALSE),0))</f>
        <v>1</v>
      </c>
      <c r="I489" t="s">
        <v>55</v>
      </c>
    </row>
    <row r="490" spans="1:9">
      <c r="A490" t="s">
        <v>591</v>
      </c>
      <c r="B490" t="s">
        <v>52</v>
      </c>
      <c r="C490">
        <v>0</v>
      </c>
      <c r="D490">
        <v>0</v>
      </c>
      <c r="E490" t="s">
        <v>53</v>
      </c>
      <c r="F490">
        <v>0</v>
      </c>
      <c r="G490" t="s">
        <v>54</v>
      </c>
      <c r="H490">
        <f>MAX(IFERROR(VLOOKUP(LOWER(SUBSTITUTE(E490,"*","")),Parameters!$E$2:$F$5,2,FALSE),0),IFERROR(VLOOKUP(LOWER(SUBSTITUTE(G490,"*","")),Parameters!$E$2:$F$5,2,FALSE),0))</f>
        <v>1</v>
      </c>
      <c r="I490" t="s">
        <v>55</v>
      </c>
    </row>
    <row r="491" spans="1:9">
      <c r="A491" t="s">
        <v>592</v>
      </c>
      <c r="B491" t="s">
        <v>52</v>
      </c>
      <c r="C491">
        <v>0</v>
      </c>
      <c r="D491">
        <v>0</v>
      </c>
      <c r="E491" t="s">
        <v>53</v>
      </c>
      <c r="F491">
        <v>0</v>
      </c>
      <c r="G491" t="s">
        <v>53</v>
      </c>
      <c r="H491">
        <f>MAX(IFERROR(VLOOKUP(LOWER(SUBSTITUTE(E491,"*","")),Parameters!$E$2:$F$5,2,FALSE),0),IFERROR(VLOOKUP(LOWER(SUBSTITUTE(G491,"*","")),Parameters!$E$2:$F$5,2,FALSE),0))</f>
        <v>0</v>
      </c>
      <c r="I491" t="s">
        <v>55</v>
      </c>
    </row>
    <row r="492" spans="1:9">
      <c r="A492" t="s">
        <v>593</v>
      </c>
      <c r="B492" t="s">
        <v>94</v>
      </c>
      <c r="C492">
        <v>0</v>
      </c>
      <c r="D492">
        <v>0</v>
      </c>
      <c r="E492" t="s">
        <v>53</v>
      </c>
      <c r="F492">
        <v>0</v>
      </c>
      <c r="G492" t="s">
        <v>54</v>
      </c>
      <c r="H492">
        <f>MAX(IFERROR(VLOOKUP(LOWER(SUBSTITUTE(E492,"*","")),Parameters!$E$2:$F$5,2,FALSE),0),IFERROR(VLOOKUP(LOWER(SUBSTITUTE(G492,"*","")),Parameters!$E$2:$F$5,2,FALSE),0))</f>
        <v>1</v>
      </c>
      <c r="I492" t="s">
        <v>63</v>
      </c>
    </row>
    <row r="493" spans="1:9">
      <c r="A493" t="s">
        <v>594</v>
      </c>
      <c r="B493" t="s">
        <v>52</v>
      </c>
      <c r="C493">
        <v>0</v>
      </c>
      <c r="D493">
        <v>0</v>
      </c>
      <c r="E493" t="s">
        <v>53</v>
      </c>
      <c r="F493">
        <v>1</v>
      </c>
      <c r="G493" t="s">
        <v>83</v>
      </c>
      <c r="H493">
        <f>MAX(IFERROR(VLOOKUP(LOWER(SUBSTITUTE(E493,"*","")),Parameters!$E$2:$F$5,2,FALSE),0),IFERROR(VLOOKUP(LOWER(SUBSTITUTE(G493,"*","")),Parameters!$E$2:$F$5,2,FALSE),0))</f>
        <v>2</v>
      </c>
      <c r="I493" t="s">
        <v>55</v>
      </c>
    </row>
    <row r="494" spans="1:9">
      <c r="A494" t="s">
        <v>595</v>
      </c>
      <c r="B494" t="s">
        <v>52</v>
      </c>
      <c r="C494">
        <v>0</v>
      </c>
      <c r="D494">
        <v>0</v>
      </c>
      <c r="E494" t="s">
        <v>53</v>
      </c>
      <c r="F494">
        <v>0</v>
      </c>
      <c r="G494" t="s">
        <v>54</v>
      </c>
      <c r="H494">
        <f>MAX(IFERROR(VLOOKUP(LOWER(SUBSTITUTE(E494,"*","")),Parameters!$E$2:$F$5,2,FALSE),0),IFERROR(VLOOKUP(LOWER(SUBSTITUTE(G494,"*","")),Parameters!$E$2:$F$5,2,FALSE),0))</f>
        <v>1</v>
      </c>
      <c r="I494" t="s">
        <v>55</v>
      </c>
    </row>
    <row r="495" spans="1:9">
      <c r="A495" t="s">
        <v>596</v>
      </c>
      <c r="B495" t="s">
        <v>52</v>
      </c>
      <c r="C495">
        <v>0</v>
      </c>
      <c r="D495">
        <v>0</v>
      </c>
      <c r="E495" t="s">
        <v>53</v>
      </c>
      <c r="F495">
        <v>0</v>
      </c>
      <c r="G495" t="s">
        <v>54</v>
      </c>
      <c r="H495">
        <f>MAX(IFERROR(VLOOKUP(LOWER(SUBSTITUTE(E495,"*","")),Parameters!$E$2:$F$5,2,FALSE),0),IFERROR(VLOOKUP(LOWER(SUBSTITUTE(G495,"*","")),Parameters!$E$2:$F$5,2,FALSE),0))</f>
        <v>1</v>
      </c>
      <c r="I495" t="s">
        <v>55</v>
      </c>
    </row>
    <row r="496" spans="1:9">
      <c r="A496" t="s">
        <v>597</v>
      </c>
      <c r="B496" t="s">
        <v>52</v>
      </c>
      <c r="C496">
        <v>0</v>
      </c>
      <c r="D496">
        <v>0</v>
      </c>
      <c r="E496" t="s">
        <v>53</v>
      </c>
      <c r="F496">
        <v>0</v>
      </c>
      <c r="G496" t="s">
        <v>53</v>
      </c>
      <c r="H496">
        <f>MAX(IFERROR(VLOOKUP(LOWER(SUBSTITUTE(E496,"*","")),Parameters!$E$2:$F$5,2,FALSE),0),IFERROR(VLOOKUP(LOWER(SUBSTITUTE(G496,"*","")),Parameters!$E$2:$F$5,2,FALSE),0))</f>
        <v>0</v>
      </c>
      <c r="I496" t="s">
        <v>55</v>
      </c>
    </row>
    <row r="497" spans="1:9">
      <c r="A497" t="s">
        <v>598</v>
      </c>
      <c r="B497" t="s">
        <v>52</v>
      </c>
      <c r="C497">
        <v>0</v>
      </c>
      <c r="D497">
        <v>0</v>
      </c>
      <c r="E497" t="s">
        <v>53</v>
      </c>
      <c r="F497">
        <v>0</v>
      </c>
      <c r="G497" t="s">
        <v>53</v>
      </c>
      <c r="H497">
        <f>MAX(IFERROR(VLOOKUP(LOWER(SUBSTITUTE(E497,"*","")),Parameters!$E$2:$F$5,2,FALSE),0),IFERROR(VLOOKUP(LOWER(SUBSTITUTE(G497,"*","")),Parameters!$E$2:$F$5,2,FALSE),0))</f>
        <v>0</v>
      </c>
      <c r="I497" t="s">
        <v>55</v>
      </c>
    </row>
    <row r="498" spans="1:9">
      <c r="A498" t="s">
        <v>599</v>
      </c>
      <c r="B498" t="s">
        <v>52</v>
      </c>
      <c r="C498">
        <v>0</v>
      </c>
      <c r="D498">
        <v>0</v>
      </c>
      <c r="E498" t="s">
        <v>53</v>
      </c>
      <c r="F498">
        <v>0</v>
      </c>
      <c r="G498" t="s">
        <v>53</v>
      </c>
      <c r="H498">
        <f>MAX(IFERROR(VLOOKUP(LOWER(SUBSTITUTE(E498,"*","")),Parameters!$E$2:$F$5,2,FALSE),0),IFERROR(VLOOKUP(LOWER(SUBSTITUTE(G498,"*","")),Parameters!$E$2:$F$5,2,FALSE),0))</f>
        <v>0</v>
      </c>
      <c r="I498" t="s">
        <v>55</v>
      </c>
    </row>
    <row r="499" spans="1:9">
      <c r="A499" t="s">
        <v>600</v>
      </c>
      <c r="B499" t="s">
        <v>52</v>
      </c>
      <c r="C499">
        <v>0</v>
      </c>
      <c r="D499">
        <v>0</v>
      </c>
      <c r="E499" t="s">
        <v>53</v>
      </c>
      <c r="F499">
        <v>0</v>
      </c>
      <c r="G499" t="s">
        <v>53</v>
      </c>
      <c r="H499">
        <f>MAX(IFERROR(VLOOKUP(LOWER(SUBSTITUTE(E499,"*","")),Parameters!$E$2:$F$5,2,FALSE),0),IFERROR(VLOOKUP(LOWER(SUBSTITUTE(G499,"*","")),Parameters!$E$2:$F$5,2,FALSE),0))</f>
        <v>0</v>
      </c>
      <c r="I499" t="s">
        <v>55</v>
      </c>
    </row>
    <row r="500" spans="1:9">
      <c r="A500" t="s">
        <v>601</v>
      </c>
      <c r="B500" t="s">
        <v>602</v>
      </c>
      <c r="C500">
        <v>1</v>
      </c>
      <c r="D500">
        <v>1</v>
      </c>
      <c r="E500" t="s">
        <v>86</v>
      </c>
      <c r="F500">
        <v>1</v>
      </c>
      <c r="G500" t="s">
        <v>83</v>
      </c>
      <c r="H500">
        <f>MAX(IFERROR(VLOOKUP(LOWER(SUBSTITUTE(E500,"*","")),Parameters!$E$2:$F$5,2,FALSE),0),IFERROR(VLOOKUP(LOWER(SUBSTITUTE(G500,"*","")),Parameters!$E$2:$F$5,2,FALSE),0))</f>
        <v>3</v>
      </c>
      <c r="I500" t="s">
        <v>63</v>
      </c>
    </row>
    <row r="501" spans="1:9">
      <c r="A501" t="s">
        <v>603</v>
      </c>
      <c r="B501" t="s">
        <v>52</v>
      </c>
      <c r="C501">
        <v>0</v>
      </c>
      <c r="D501">
        <v>1</v>
      </c>
      <c r="E501" t="s">
        <v>83</v>
      </c>
      <c r="F501">
        <v>1</v>
      </c>
      <c r="G501" t="s">
        <v>86</v>
      </c>
      <c r="H501">
        <f>MAX(IFERROR(VLOOKUP(LOWER(SUBSTITUTE(E501,"*","")),Parameters!$E$2:$F$5,2,FALSE),0),IFERROR(VLOOKUP(LOWER(SUBSTITUTE(G501,"*","")),Parameters!$E$2:$F$5,2,FALSE),0))</f>
        <v>3</v>
      </c>
      <c r="I501" t="s">
        <v>55</v>
      </c>
    </row>
    <row r="502" spans="1:9">
      <c r="A502" t="s">
        <v>604</v>
      </c>
      <c r="B502" t="s">
        <v>52</v>
      </c>
      <c r="C502">
        <v>0</v>
      </c>
      <c r="D502">
        <v>0</v>
      </c>
      <c r="E502" t="s">
        <v>54</v>
      </c>
      <c r="F502">
        <v>0</v>
      </c>
      <c r="G502" t="s">
        <v>54</v>
      </c>
      <c r="H502">
        <f>MAX(IFERROR(VLOOKUP(LOWER(SUBSTITUTE(E502,"*","")),Parameters!$E$2:$F$5,2,FALSE),0),IFERROR(VLOOKUP(LOWER(SUBSTITUTE(G502,"*","")),Parameters!$E$2:$F$5,2,FALSE),0))</f>
        <v>1</v>
      </c>
      <c r="I502" t="s">
        <v>55</v>
      </c>
    </row>
    <row r="503" spans="1:9">
      <c r="A503" t="s">
        <v>605</v>
      </c>
      <c r="B503" t="s">
        <v>52</v>
      </c>
      <c r="C503">
        <v>0</v>
      </c>
      <c r="D503">
        <v>0</v>
      </c>
      <c r="E503" t="s">
        <v>53</v>
      </c>
      <c r="F503">
        <v>0</v>
      </c>
      <c r="G503" t="s">
        <v>53</v>
      </c>
      <c r="H503">
        <f>MAX(IFERROR(VLOOKUP(LOWER(SUBSTITUTE(E503,"*","")),Parameters!$E$2:$F$5,2,FALSE),0),IFERROR(VLOOKUP(LOWER(SUBSTITUTE(G503,"*","")),Parameters!$E$2:$F$5,2,FALSE),0))</f>
        <v>0</v>
      </c>
      <c r="I503" t="s">
        <v>55</v>
      </c>
    </row>
    <row r="504" spans="1:9">
      <c r="A504" t="s">
        <v>606</v>
      </c>
      <c r="B504" t="s">
        <v>201</v>
      </c>
      <c r="C504">
        <v>0</v>
      </c>
      <c r="D504">
        <v>0</v>
      </c>
      <c r="E504" t="s">
        <v>54</v>
      </c>
      <c r="F504">
        <v>1</v>
      </c>
      <c r="G504" t="s">
        <v>83</v>
      </c>
      <c r="H504">
        <f>MAX(IFERROR(VLOOKUP(LOWER(SUBSTITUTE(E504,"*","")),Parameters!$E$2:$F$5,2,FALSE),0),IFERROR(VLOOKUP(LOWER(SUBSTITUTE(G504,"*","")),Parameters!$E$2:$F$5,2,FALSE),0))</f>
        <v>2</v>
      </c>
      <c r="I504" t="s">
        <v>63</v>
      </c>
    </row>
    <row r="505" spans="1:9">
      <c r="A505" t="s">
        <v>607</v>
      </c>
      <c r="B505" t="s">
        <v>52</v>
      </c>
      <c r="C505">
        <v>0</v>
      </c>
      <c r="D505">
        <v>0</v>
      </c>
      <c r="E505" t="s">
        <v>53</v>
      </c>
      <c r="F505">
        <v>0</v>
      </c>
      <c r="G505" t="s">
        <v>53</v>
      </c>
      <c r="H505">
        <f>MAX(IFERROR(VLOOKUP(LOWER(SUBSTITUTE(E505,"*","")),Parameters!$E$2:$F$5,2,FALSE),0),IFERROR(VLOOKUP(LOWER(SUBSTITUTE(G505,"*","")),Parameters!$E$2:$F$5,2,FALSE),0))</f>
        <v>0</v>
      </c>
      <c r="I505" t="s">
        <v>55</v>
      </c>
    </row>
    <row r="506" spans="1:9">
      <c r="A506" t="s">
        <v>608</v>
      </c>
      <c r="B506" t="s">
        <v>52</v>
      </c>
      <c r="C506">
        <v>0</v>
      </c>
      <c r="D506">
        <v>0</v>
      </c>
      <c r="E506" t="s">
        <v>53</v>
      </c>
      <c r="F506">
        <v>0</v>
      </c>
      <c r="G506" t="s">
        <v>53</v>
      </c>
      <c r="H506">
        <f>MAX(IFERROR(VLOOKUP(LOWER(SUBSTITUTE(E506,"*","")),Parameters!$E$2:$F$5,2,FALSE),0),IFERROR(VLOOKUP(LOWER(SUBSTITUTE(G506,"*","")),Parameters!$E$2:$F$5,2,FALSE),0))</f>
        <v>0</v>
      </c>
      <c r="I506" t="s">
        <v>55</v>
      </c>
    </row>
    <row r="507" spans="1:9">
      <c r="A507" t="s">
        <v>609</v>
      </c>
      <c r="B507" t="s">
        <v>52</v>
      </c>
      <c r="C507">
        <v>0</v>
      </c>
      <c r="D507">
        <v>0</v>
      </c>
      <c r="E507" t="s">
        <v>53</v>
      </c>
      <c r="F507">
        <v>0</v>
      </c>
      <c r="G507" t="s">
        <v>53</v>
      </c>
      <c r="H507">
        <f>MAX(IFERROR(VLOOKUP(LOWER(SUBSTITUTE(E507,"*","")),Parameters!$E$2:$F$5,2,FALSE),0),IFERROR(VLOOKUP(LOWER(SUBSTITUTE(G507,"*","")),Parameters!$E$2:$F$5,2,FALSE),0))</f>
        <v>0</v>
      </c>
      <c r="I507" t="s">
        <v>55</v>
      </c>
    </row>
    <row r="508" spans="1:9">
      <c r="A508" t="s">
        <v>610</v>
      </c>
      <c r="B508" t="s">
        <v>94</v>
      </c>
      <c r="C508">
        <v>0</v>
      </c>
      <c r="D508">
        <v>0</v>
      </c>
      <c r="E508" t="s">
        <v>53</v>
      </c>
      <c r="F508">
        <v>0</v>
      </c>
      <c r="G508" t="s">
        <v>54</v>
      </c>
      <c r="H508">
        <f>MAX(IFERROR(VLOOKUP(LOWER(SUBSTITUTE(E508,"*","")),Parameters!$E$2:$F$5,2,FALSE),0),IFERROR(VLOOKUP(LOWER(SUBSTITUTE(G508,"*","")),Parameters!$E$2:$F$5,2,FALSE),0))</f>
        <v>1</v>
      </c>
      <c r="I508" t="s">
        <v>63</v>
      </c>
    </row>
    <row r="509" spans="1:9">
      <c r="A509" t="s">
        <v>611</v>
      </c>
      <c r="B509" t="s">
        <v>52</v>
      </c>
      <c r="C509">
        <v>0</v>
      </c>
      <c r="D509">
        <v>0</v>
      </c>
      <c r="E509" t="s">
        <v>53</v>
      </c>
      <c r="F509">
        <v>0</v>
      </c>
      <c r="G509" t="s">
        <v>53</v>
      </c>
      <c r="H509">
        <f>MAX(IFERROR(VLOOKUP(LOWER(SUBSTITUTE(E509,"*","")),Parameters!$E$2:$F$5,2,FALSE),0),IFERROR(VLOOKUP(LOWER(SUBSTITUTE(G509,"*","")),Parameters!$E$2:$F$5,2,FALSE),0))</f>
        <v>0</v>
      </c>
      <c r="I509" t="s">
        <v>55</v>
      </c>
    </row>
    <row r="510" spans="1:9">
      <c r="A510" t="s">
        <v>612</v>
      </c>
      <c r="B510" t="s">
        <v>52</v>
      </c>
      <c r="C510">
        <v>0</v>
      </c>
      <c r="D510">
        <v>0</v>
      </c>
      <c r="E510" t="s">
        <v>53</v>
      </c>
      <c r="F510">
        <v>0</v>
      </c>
      <c r="G510" t="s">
        <v>53</v>
      </c>
      <c r="H510">
        <f>MAX(IFERROR(VLOOKUP(LOWER(SUBSTITUTE(E510,"*","")),Parameters!$E$2:$F$5,2,FALSE),0),IFERROR(VLOOKUP(LOWER(SUBSTITUTE(G510,"*","")),Parameters!$E$2:$F$5,2,FALSE),0))</f>
        <v>0</v>
      </c>
      <c r="I510" t="s">
        <v>55</v>
      </c>
    </row>
    <row r="511" spans="1:9">
      <c r="A511" t="s">
        <v>613</v>
      </c>
      <c r="B511" t="s">
        <v>52</v>
      </c>
      <c r="C511">
        <v>0</v>
      </c>
      <c r="D511">
        <v>0</v>
      </c>
      <c r="E511" t="s">
        <v>53</v>
      </c>
      <c r="F511">
        <v>0</v>
      </c>
      <c r="G511" t="s">
        <v>53</v>
      </c>
      <c r="H511">
        <f>MAX(IFERROR(VLOOKUP(LOWER(SUBSTITUTE(E511,"*","")),Parameters!$E$2:$F$5,2,FALSE),0),IFERROR(VLOOKUP(LOWER(SUBSTITUTE(G511,"*","")),Parameters!$E$2:$F$5,2,FALSE),0))</f>
        <v>0</v>
      </c>
      <c r="I511" t="s">
        <v>55</v>
      </c>
    </row>
    <row r="512" spans="1:9">
      <c r="A512" t="s">
        <v>614</v>
      </c>
      <c r="B512" t="s">
        <v>52</v>
      </c>
      <c r="C512">
        <v>0</v>
      </c>
      <c r="D512">
        <v>0</v>
      </c>
      <c r="E512" t="s">
        <v>53</v>
      </c>
      <c r="F512">
        <v>0</v>
      </c>
      <c r="G512" t="s">
        <v>53</v>
      </c>
      <c r="H512">
        <f>MAX(IFERROR(VLOOKUP(LOWER(SUBSTITUTE(E512,"*","")),Parameters!$E$2:$F$5,2,FALSE),0),IFERROR(VLOOKUP(LOWER(SUBSTITUTE(G512,"*","")),Parameters!$E$2:$F$5,2,FALSE),0))</f>
        <v>0</v>
      </c>
      <c r="I512" t="s">
        <v>55</v>
      </c>
    </row>
    <row r="513" spans="1:9">
      <c r="A513" t="s">
        <v>615</v>
      </c>
      <c r="B513" t="s">
        <v>232</v>
      </c>
      <c r="C513">
        <v>0</v>
      </c>
      <c r="D513">
        <v>1</v>
      </c>
      <c r="E513" t="s">
        <v>86</v>
      </c>
      <c r="F513">
        <v>0</v>
      </c>
      <c r="G513" t="s">
        <v>54</v>
      </c>
      <c r="H513">
        <f>MAX(IFERROR(VLOOKUP(LOWER(SUBSTITUTE(E513,"*","")),Parameters!$E$2:$F$5,2,FALSE),0),IFERROR(VLOOKUP(LOWER(SUBSTITUTE(G513,"*","")),Parameters!$E$2:$F$5,2,FALSE),0))</f>
        <v>3</v>
      </c>
      <c r="I513" t="s">
        <v>63</v>
      </c>
    </row>
    <row r="514" spans="1:9">
      <c r="A514" t="s">
        <v>616</v>
      </c>
      <c r="B514" t="s">
        <v>52</v>
      </c>
      <c r="C514">
        <v>0</v>
      </c>
      <c r="D514">
        <v>0</v>
      </c>
      <c r="E514" t="s">
        <v>53</v>
      </c>
      <c r="F514">
        <v>0</v>
      </c>
      <c r="G514" t="s">
        <v>54</v>
      </c>
      <c r="H514">
        <f>MAX(IFERROR(VLOOKUP(LOWER(SUBSTITUTE(E514,"*","")),Parameters!$E$2:$F$5,2,FALSE),0),IFERROR(VLOOKUP(LOWER(SUBSTITUTE(G514,"*","")),Parameters!$E$2:$F$5,2,FALSE),0))</f>
        <v>1</v>
      </c>
      <c r="I514" t="s">
        <v>55</v>
      </c>
    </row>
    <row r="515" spans="1:9">
      <c r="A515" t="s">
        <v>617</v>
      </c>
      <c r="B515" t="s">
        <v>52</v>
      </c>
      <c r="C515">
        <v>0</v>
      </c>
      <c r="D515">
        <v>0</v>
      </c>
      <c r="E515" t="s">
        <v>53</v>
      </c>
      <c r="F515">
        <v>0</v>
      </c>
      <c r="G515" t="s">
        <v>54</v>
      </c>
      <c r="H515">
        <f>MAX(IFERROR(VLOOKUP(LOWER(SUBSTITUTE(E515,"*","")),Parameters!$E$2:$F$5,2,FALSE),0),IFERROR(VLOOKUP(LOWER(SUBSTITUTE(G515,"*","")),Parameters!$E$2:$F$5,2,FALSE),0))</f>
        <v>1</v>
      </c>
      <c r="I515" t="s">
        <v>55</v>
      </c>
    </row>
    <row r="516" spans="1:9">
      <c r="A516" t="s">
        <v>618</v>
      </c>
      <c r="B516" t="s">
        <v>52</v>
      </c>
      <c r="C516">
        <v>0</v>
      </c>
      <c r="D516">
        <v>0</v>
      </c>
      <c r="E516" t="s">
        <v>53</v>
      </c>
      <c r="F516">
        <v>0</v>
      </c>
      <c r="G516" t="s">
        <v>54</v>
      </c>
      <c r="H516">
        <f>MAX(IFERROR(VLOOKUP(LOWER(SUBSTITUTE(E516,"*","")),Parameters!$E$2:$F$5,2,FALSE),0),IFERROR(VLOOKUP(LOWER(SUBSTITUTE(G516,"*","")),Parameters!$E$2:$F$5,2,FALSE),0))</f>
        <v>1</v>
      </c>
      <c r="I516" t="s">
        <v>55</v>
      </c>
    </row>
    <row r="517" spans="1:9">
      <c r="A517" t="s">
        <v>619</v>
      </c>
      <c r="B517" t="s">
        <v>52</v>
      </c>
      <c r="C517">
        <v>0</v>
      </c>
      <c r="D517">
        <v>0</v>
      </c>
      <c r="E517" t="s">
        <v>53</v>
      </c>
      <c r="F517">
        <v>0</v>
      </c>
      <c r="G517" t="s">
        <v>54</v>
      </c>
      <c r="H517">
        <f>MAX(IFERROR(VLOOKUP(LOWER(SUBSTITUTE(E517,"*","")),Parameters!$E$2:$F$5,2,FALSE),0),IFERROR(VLOOKUP(LOWER(SUBSTITUTE(G517,"*","")),Parameters!$E$2:$F$5,2,FALSE),0))</f>
        <v>1</v>
      </c>
      <c r="I517" t="s">
        <v>55</v>
      </c>
    </row>
    <row r="518" spans="1:9">
      <c r="A518" t="s">
        <v>620</v>
      </c>
      <c r="B518" t="s">
        <v>52</v>
      </c>
      <c r="C518">
        <v>0</v>
      </c>
      <c r="D518">
        <v>0</v>
      </c>
      <c r="E518" t="s">
        <v>53</v>
      </c>
      <c r="F518">
        <v>1</v>
      </c>
      <c r="G518" t="s">
        <v>83</v>
      </c>
      <c r="H518">
        <f>MAX(IFERROR(VLOOKUP(LOWER(SUBSTITUTE(E518,"*","")),Parameters!$E$2:$F$5,2,FALSE),0),IFERROR(VLOOKUP(LOWER(SUBSTITUTE(G518,"*","")),Parameters!$E$2:$F$5,2,FALSE),0))</f>
        <v>2</v>
      </c>
      <c r="I518" t="s">
        <v>55</v>
      </c>
    </row>
    <row r="519" spans="1:9">
      <c r="A519" t="s">
        <v>621</v>
      </c>
      <c r="B519" t="s">
        <v>52</v>
      </c>
      <c r="C519">
        <v>0</v>
      </c>
      <c r="D519">
        <v>0</v>
      </c>
      <c r="E519" t="s">
        <v>53</v>
      </c>
      <c r="F519">
        <v>0</v>
      </c>
      <c r="G519" t="s">
        <v>53</v>
      </c>
      <c r="H519">
        <f>MAX(IFERROR(VLOOKUP(LOWER(SUBSTITUTE(E519,"*","")),Parameters!$E$2:$F$5,2,FALSE),0),IFERROR(VLOOKUP(LOWER(SUBSTITUTE(G519,"*","")),Parameters!$E$2:$F$5,2,FALSE),0))</f>
        <v>0</v>
      </c>
      <c r="I519" t="s">
        <v>55</v>
      </c>
    </row>
    <row r="520" spans="1:9">
      <c r="A520" t="s">
        <v>622</v>
      </c>
      <c r="B520" t="s">
        <v>52</v>
      </c>
      <c r="C520">
        <v>0</v>
      </c>
      <c r="D520">
        <v>0</v>
      </c>
      <c r="E520" t="s">
        <v>53</v>
      </c>
      <c r="F520">
        <v>0</v>
      </c>
      <c r="G520" t="s">
        <v>53</v>
      </c>
      <c r="H520">
        <f>MAX(IFERROR(VLOOKUP(LOWER(SUBSTITUTE(E520,"*","")),Parameters!$E$2:$F$5,2,FALSE),0),IFERROR(VLOOKUP(LOWER(SUBSTITUTE(G520,"*","")),Parameters!$E$2:$F$5,2,FALSE),0))</f>
        <v>0</v>
      </c>
      <c r="I520" t="s">
        <v>55</v>
      </c>
    </row>
    <row r="521" spans="1:9">
      <c r="A521" t="s">
        <v>623</v>
      </c>
      <c r="B521" t="s">
        <v>52</v>
      </c>
      <c r="C521">
        <v>0</v>
      </c>
      <c r="D521">
        <v>0</v>
      </c>
      <c r="E521" t="s">
        <v>53</v>
      </c>
      <c r="F521">
        <v>0</v>
      </c>
      <c r="G521" t="s">
        <v>53</v>
      </c>
      <c r="H521">
        <f>MAX(IFERROR(VLOOKUP(LOWER(SUBSTITUTE(E521,"*","")),Parameters!$E$2:$F$5,2,FALSE),0),IFERROR(VLOOKUP(LOWER(SUBSTITUTE(G521,"*","")),Parameters!$E$2:$F$5,2,FALSE),0))</f>
        <v>0</v>
      </c>
      <c r="I521" t="s">
        <v>55</v>
      </c>
    </row>
    <row r="522" spans="1:9">
      <c r="A522" t="s">
        <v>624</v>
      </c>
      <c r="B522" t="s">
        <v>52</v>
      </c>
      <c r="C522">
        <v>0</v>
      </c>
      <c r="D522">
        <v>0</v>
      </c>
      <c r="E522" t="s">
        <v>53</v>
      </c>
      <c r="F522">
        <v>0</v>
      </c>
      <c r="G522" t="s">
        <v>53</v>
      </c>
      <c r="H522">
        <f>MAX(IFERROR(VLOOKUP(LOWER(SUBSTITUTE(E522,"*","")),Parameters!$E$2:$F$5,2,FALSE),0),IFERROR(VLOOKUP(LOWER(SUBSTITUTE(G522,"*","")),Parameters!$E$2:$F$5,2,FALSE),0))</f>
        <v>0</v>
      </c>
      <c r="I522" t="s">
        <v>55</v>
      </c>
    </row>
    <row r="523" spans="1:9">
      <c r="A523" t="s">
        <v>625</v>
      </c>
      <c r="B523" t="s">
        <v>52</v>
      </c>
      <c r="C523">
        <v>0</v>
      </c>
      <c r="D523">
        <v>0</v>
      </c>
      <c r="E523" t="s">
        <v>53</v>
      </c>
      <c r="F523">
        <v>0</v>
      </c>
      <c r="G523" t="s">
        <v>54</v>
      </c>
      <c r="H523">
        <f>MAX(IFERROR(VLOOKUP(LOWER(SUBSTITUTE(E523,"*","")),Parameters!$E$2:$F$5,2,FALSE),0),IFERROR(VLOOKUP(LOWER(SUBSTITUTE(G523,"*","")),Parameters!$E$2:$F$5,2,FALSE),0))</f>
        <v>1</v>
      </c>
      <c r="I523" t="s">
        <v>55</v>
      </c>
    </row>
    <row r="524" spans="1:9">
      <c r="A524" t="s">
        <v>626</v>
      </c>
      <c r="B524" t="s">
        <v>52</v>
      </c>
      <c r="C524">
        <v>0</v>
      </c>
      <c r="D524">
        <v>0</v>
      </c>
      <c r="E524" t="s">
        <v>54</v>
      </c>
      <c r="F524">
        <v>1</v>
      </c>
      <c r="G524" t="s">
        <v>83</v>
      </c>
      <c r="H524">
        <f>MAX(IFERROR(VLOOKUP(LOWER(SUBSTITUTE(E524,"*","")),Parameters!$E$2:$F$5,2,FALSE),0),IFERROR(VLOOKUP(LOWER(SUBSTITUTE(G524,"*","")),Parameters!$E$2:$F$5,2,FALSE),0))</f>
        <v>2</v>
      </c>
      <c r="I524" t="s">
        <v>55</v>
      </c>
    </row>
    <row r="525" spans="1:9">
      <c r="A525" t="s">
        <v>627</v>
      </c>
      <c r="B525" t="s">
        <v>52</v>
      </c>
      <c r="C525">
        <v>0</v>
      </c>
      <c r="D525">
        <v>0</v>
      </c>
      <c r="E525" t="s">
        <v>53</v>
      </c>
      <c r="F525">
        <v>0</v>
      </c>
      <c r="G525" t="s">
        <v>54</v>
      </c>
      <c r="H525">
        <f>MAX(IFERROR(VLOOKUP(LOWER(SUBSTITUTE(E525,"*","")),Parameters!$E$2:$F$5,2,FALSE),0),IFERROR(VLOOKUP(LOWER(SUBSTITUTE(G525,"*","")),Parameters!$E$2:$F$5,2,FALSE),0))</f>
        <v>1</v>
      </c>
      <c r="I525" t="s">
        <v>55</v>
      </c>
    </row>
    <row r="526" spans="1:9">
      <c r="A526" t="s">
        <v>628</v>
      </c>
      <c r="B526" t="s">
        <v>421</v>
      </c>
      <c r="C526">
        <v>0</v>
      </c>
      <c r="D526">
        <v>0</v>
      </c>
      <c r="E526" t="s">
        <v>53</v>
      </c>
      <c r="F526">
        <v>1</v>
      </c>
      <c r="G526" t="s">
        <v>86</v>
      </c>
      <c r="H526">
        <f>MAX(IFERROR(VLOOKUP(LOWER(SUBSTITUTE(E526,"*","")),Parameters!$E$2:$F$5,2,FALSE),0),IFERROR(VLOOKUP(LOWER(SUBSTITUTE(G526,"*","")),Parameters!$E$2:$F$5,2,FALSE),0))</f>
        <v>3</v>
      </c>
      <c r="I526" t="s">
        <v>63</v>
      </c>
    </row>
    <row r="527" spans="1:9">
      <c r="A527" t="s">
        <v>629</v>
      </c>
      <c r="B527" t="s">
        <v>52</v>
      </c>
      <c r="C527">
        <v>0</v>
      </c>
      <c r="D527">
        <v>0</v>
      </c>
      <c r="E527" t="s">
        <v>53</v>
      </c>
      <c r="F527">
        <v>0</v>
      </c>
      <c r="G527" t="s">
        <v>53</v>
      </c>
      <c r="H527">
        <f>MAX(IFERROR(VLOOKUP(LOWER(SUBSTITUTE(E527,"*","")),Parameters!$E$2:$F$5,2,FALSE),0),IFERROR(VLOOKUP(LOWER(SUBSTITUTE(G527,"*","")),Parameters!$E$2:$F$5,2,FALSE),0))</f>
        <v>0</v>
      </c>
      <c r="I527" t="s">
        <v>55</v>
      </c>
    </row>
    <row r="528" spans="1:9">
      <c r="A528" t="s">
        <v>630</v>
      </c>
      <c r="B528" t="s">
        <v>52</v>
      </c>
      <c r="C528">
        <v>0</v>
      </c>
      <c r="D528">
        <v>0</v>
      </c>
      <c r="E528" t="s">
        <v>53</v>
      </c>
      <c r="F528">
        <v>0</v>
      </c>
      <c r="G528" t="s">
        <v>54</v>
      </c>
      <c r="H528">
        <f>MAX(IFERROR(VLOOKUP(LOWER(SUBSTITUTE(E528,"*","")),Parameters!$E$2:$F$5,2,FALSE),0),IFERROR(VLOOKUP(LOWER(SUBSTITUTE(G528,"*","")),Parameters!$E$2:$F$5,2,FALSE),0))</f>
        <v>1</v>
      </c>
      <c r="I528" t="s">
        <v>55</v>
      </c>
    </row>
    <row r="529" spans="1:9">
      <c r="A529" t="s">
        <v>631</v>
      </c>
      <c r="B529" t="s">
        <v>52</v>
      </c>
      <c r="C529">
        <v>0</v>
      </c>
      <c r="D529">
        <v>0</v>
      </c>
      <c r="E529" t="s">
        <v>53</v>
      </c>
      <c r="F529">
        <v>0</v>
      </c>
      <c r="G529" t="s">
        <v>54</v>
      </c>
      <c r="H529">
        <f>MAX(IFERROR(VLOOKUP(LOWER(SUBSTITUTE(E529,"*","")),Parameters!$E$2:$F$5,2,FALSE),0),IFERROR(VLOOKUP(LOWER(SUBSTITUTE(G529,"*","")),Parameters!$E$2:$F$5,2,FALSE),0))</f>
        <v>1</v>
      </c>
      <c r="I529" t="s">
        <v>55</v>
      </c>
    </row>
    <row r="530" spans="1:9">
      <c r="A530" t="s">
        <v>632</v>
      </c>
      <c r="B530" t="s">
        <v>52</v>
      </c>
      <c r="C530">
        <v>0</v>
      </c>
      <c r="D530">
        <v>0</v>
      </c>
      <c r="E530" t="s">
        <v>53</v>
      </c>
      <c r="F530">
        <v>0</v>
      </c>
      <c r="G530" t="s">
        <v>53</v>
      </c>
      <c r="H530">
        <f>MAX(IFERROR(VLOOKUP(LOWER(SUBSTITUTE(E530,"*","")),Parameters!$E$2:$F$5,2,FALSE),0),IFERROR(VLOOKUP(LOWER(SUBSTITUTE(G530,"*","")),Parameters!$E$2:$F$5,2,FALSE),0))</f>
        <v>0</v>
      </c>
      <c r="I530" t="s">
        <v>55</v>
      </c>
    </row>
    <row r="531" spans="1:9">
      <c r="A531" t="s">
        <v>633</v>
      </c>
      <c r="B531" t="s">
        <v>150</v>
      </c>
      <c r="C531">
        <v>0</v>
      </c>
      <c r="D531">
        <v>0</v>
      </c>
      <c r="E531" t="s">
        <v>53</v>
      </c>
      <c r="F531">
        <v>1</v>
      </c>
      <c r="G531" t="s">
        <v>83</v>
      </c>
      <c r="H531">
        <f>MAX(IFERROR(VLOOKUP(LOWER(SUBSTITUTE(E531,"*","")),Parameters!$E$2:$F$5,2,FALSE),0),IFERROR(VLOOKUP(LOWER(SUBSTITUTE(G531,"*","")),Parameters!$E$2:$F$5,2,FALSE),0))</f>
        <v>2</v>
      </c>
      <c r="I531" t="s">
        <v>63</v>
      </c>
    </row>
    <row r="532" spans="1:9">
      <c r="A532" t="s">
        <v>634</v>
      </c>
      <c r="B532" t="s">
        <v>52</v>
      </c>
      <c r="C532">
        <v>0</v>
      </c>
      <c r="D532">
        <v>0</v>
      </c>
      <c r="E532" t="s">
        <v>53</v>
      </c>
      <c r="F532">
        <v>0</v>
      </c>
      <c r="G532" t="s">
        <v>54</v>
      </c>
      <c r="H532">
        <f>MAX(IFERROR(VLOOKUP(LOWER(SUBSTITUTE(E532,"*","")),Parameters!$E$2:$F$5,2,FALSE),0),IFERROR(VLOOKUP(LOWER(SUBSTITUTE(G532,"*","")),Parameters!$E$2:$F$5,2,FALSE),0))</f>
        <v>1</v>
      </c>
      <c r="I532" t="s">
        <v>55</v>
      </c>
    </row>
    <row r="533" spans="1:9">
      <c r="A533" t="s">
        <v>635</v>
      </c>
      <c r="B533" t="s">
        <v>85</v>
      </c>
      <c r="C533">
        <v>1</v>
      </c>
      <c r="D533">
        <v>0</v>
      </c>
      <c r="E533" t="s">
        <v>54</v>
      </c>
      <c r="F533">
        <v>1</v>
      </c>
      <c r="G533" t="s">
        <v>86</v>
      </c>
      <c r="H533">
        <f>MAX(IFERROR(VLOOKUP(LOWER(SUBSTITUTE(E533,"*","")),Parameters!$E$2:$F$5,2,FALSE),0),IFERROR(VLOOKUP(LOWER(SUBSTITUTE(G533,"*","")),Parameters!$E$2:$F$5,2,FALSE),0))</f>
        <v>3</v>
      </c>
      <c r="I533" t="s">
        <v>63</v>
      </c>
    </row>
    <row r="534" spans="1:9">
      <c r="A534" t="s">
        <v>636</v>
      </c>
      <c r="B534" t="s">
        <v>52</v>
      </c>
      <c r="C534">
        <v>0</v>
      </c>
      <c r="D534">
        <v>0</v>
      </c>
      <c r="E534" t="s">
        <v>53</v>
      </c>
      <c r="F534">
        <v>0</v>
      </c>
      <c r="G534" t="s">
        <v>54</v>
      </c>
      <c r="H534">
        <f>MAX(IFERROR(VLOOKUP(LOWER(SUBSTITUTE(E534,"*","")),Parameters!$E$2:$F$5,2,FALSE),0),IFERROR(VLOOKUP(LOWER(SUBSTITUTE(G534,"*","")),Parameters!$E$2:$F$5,2,FALSE),0))</f>
        <v>1</v>
      </c>
      <c r="I534" t="s">
        <v>55</v>
      </c>
    </row>
    <row r="535" spans="1:9">
      <c r="A535" t="s">
        <v>637</v>
      </c>
      <c r="B535" t="s">
        <v>52</v>
      </c>
      <c r="C535">
        <v>0</v>
      </c>
      <c r="D535">
        <v>0</v>
      </c>
      <c r="E535" t="s">
        <v>53</v>
      </c>
      <c r="F535">
        <v>0</v>
      </c>
      <c r="G535" t="s">
        <v>54</v>
      </c>
      <c r="H535">
        <f>MAX(IFERROR(VLOOKUP(LOWER(SUBSTITUTE(E535,"*","")),Parameters!$E$2:$F$5,2,FALSE),0),IFERROR(VLOOKUP(LOWER(SUBSTITUTE(G535,"*","")),Parameters!$E$2:$F$5,2,FALSE),0))</f>
        <v>1</v>
      </c>
      <c r="I535" t="s">
        <v>55</v>
      </c>
    </row>
    <row r="536" spans="1:9">
      <c r="A536" t="s">
        <v>638</v>
      </c>
      <c r="B536" t="s">
        <v>52</v>
      </c>
      <c r="C536">
        <v>0</v>
      </c>
      <c r="D536">
        <v>0</v>
      </c>
      <c r="E536" t="s">
        <v>53</v>
      </c>
      <c r="F536">
        <v>0</v>
      </c>
      <c r="G536" t="s">
        <v>53</v>
      </c>
      <c r="H536">
        <f>MAX(IFERROR(VLOOKUP(LOWER(SUBSTITUTE(E536,"*","")),Parameters!$E$2:$F$5,2,FALSE),0),IFERROR(VLOOKUP(LOWER(SUBSTITUTE(G536,"*","")),Parameters!$E$2:$F$5,2,FALSE),0))</f>
        <v>0</v>
      </c>
      <c r="I536" t="s">
        <v>55</v>
      </c>
    </row>
    <row r="537" spans="1:9">
      <c r="A537" t="s">
        <v>639</v>
      </c>
      <c r="B537" t="s">
        <v>52</v>
      </c>
      <c r="C537">
        <v>0</v>
      </c>
      <c r="D537">
        <v>0</v>
      </c>
      <c r="E537" t="s">
        <v>53</v>
      </c>
      <c r="F537">
        <v>0</v>
      </c>
      <c r="G537" t="s">
        <v>53</v>
      </c>
      <c r="H537">
        <f>MAX(IFERROR(VLOOKUP(LOWER(SUBSTITUTE(E537,"*","")),Parameters!$E$2:$F$5,2,FALSE),0),IFERROR(VLOOKUP(LOWER(SUBSTITUTE(G537,"*","")),Parameters!$E$2:$F$5,2,FALSE),0))</f>
        <v>0</v>
      </c>
      <c r="I537" t="s">
        <v>55</v>
      </c>
    </row>
    <row r="538" spans="1:9">
      <c r="A538" t="s">
        <v>640</v>
      </c>
      <c r="B538" t="s">
        <v>52</v>
      </c>
      <c r="C538">
        <v>0</v>
      </c>
      <c r="D538">
        <v>0</v>
      </c>
      <c r="E538" t="s">
        <v>53</v>
      </c>
      <c r="F538">
        <v>0</v>
      </c>
      <c r="G538" t="s">
        <v>53</v>
      </c>
      <c r="H538">
        <f>MAX(IFERROR(VLOOKUP(LOWER(SUBSTITUTE(E538,"*","")),Parameters!$E$2:$F$5,2,FALSE),0),IFERROR(VLOOKUP(LOWER(SUBSTITUTE(G538,"*","")),Parameters!$E$2:$F$5,2,FALSE),0))</f>
        <v>0</v>
      </c>
      <c r="I538" t="s">
        <v>55</v>
      </c>
    </row>
    <row r="539" spans="1:9">
      <c r="A539" t="s">
        <v>641</v>
      </c>
      <c r="B539" t="s">
        <v>52</v>
      </c>
      <c r="C539">
        <v>0</v>
      </c>
      <c r="D539">
        <v>0</v>
      </c>
      <c r="E539" t="s">
        <v>53</v>
      </c>
      <c r="F539">
        <v>0</v>
      </c>
      <c r="G539" t="s">
        <v>53</v>
      </c>
      <c r="H539">
        <f>MAX(IFERROR(VLOOKUP(LOWER(SUBSTITUTE(E539,"*","")),Parameters!$E$2:$F$5,2,FALSE),0),IFERROR(VLOOKUP(LOWER(SUBSTITUTE(G539,"*","")),Parameters!$E$2:$F$5,2,FALSE),0))</f>
        <v>0</v>
      </c>
      <c r="I539" t="s">
        <v>55</v>
      </c>
    </row>
    <row r="540" spans="1:9">
      <c r="A540" t="s">
        <v>642</v>
      </c>
      <c r="B540" t="s">
        <v>52</v>
      </c>
      <c r="C540">
        <v>0</v>
      </c>
      <c r="D540">
        <v>0</v>
      </c>
      <c r="E540" t="s">
        <v>53</v>
      </c>
      <c r="F540">
        <v>1</v>
      </c>
      <c r="G540" t="s">
        <v>83</v>
      </c>
      <c r="H540">
        <f>MAX(IFERROR(VLOOKUP(LOWER(SUBSTITUTE(E540,"*","")),Parameters!$E$2:$F$5,2,FALSE),0),IFERROR(VLOOKUP(LOWER(SUBSTITUTE(G540,"*","")),Parameters!$E$2:$F$5,2,FALSE),0))</f>
        <v>2</v>
      </c>
      <c r="I540" t="s">
        <v>55</v>
      </c>
    </row>
    <row r="541" spans="1:9">
      <c r="A541" t="s">
        <v>643</v>
      </c>
      <c r="B541" t="s">
        <v>52</v>
      </c>
      <c r="C541">
        <v>0</v>
      </c>
      <c r="D541">
        <v>0</v>
      </c>
      <c r="E541" t="s">
        <v>53</v>
      </c>
      <c r="F541">
        <v>0</v>
      </c>
      <c r="G541" t="s">
        <v>53</v>
      </c>
      <c r="H541">
        <f>MAX(IFERROR(VLOOKUP(LOWER(SUBSTITUTE(E541,"*","")),Parameters!$E$2:$F$5,2,FALSE),0),IFERROR(VLOOKUP(LOWER(SUBSTITUTE(G541,"*","")),Parameters!$E$2:$F$5,2,FALSE),0))</f>
        <v>0</v>
      </c>
      <c r="I541" t="s">
        <v>55</v>
      </c>
    </row>
    <row r="542" spans="1:9">
      <c r="A542" t="s">
        <v>644</v>
      </c>
      <c r="B542" t="s">
        <v>52</v>
      </c>
      <c r="C542">
        <v>0</v>
      </c>
      <c r="D542">
        <v>0</v>
      </c>
      <c r="E542" t="s">
        <v>53</v>
      </c>
      <c r="F542">
        <v>0</v>
      </c>
      <c r="G542" t="s">
        <v>53</v>
      </c>
      <c r="H542">
        <f>MAX(IFERROR(VLOOKUP(LOWER(SUBSTITUTE(E542,"*","")),Parameters!$E$2:$F$5,2,FALSE),0),IFERROR(VLOOKUP(LOWER(SUBSTITUTE(G542,"*","")),Parameters!$E$2:$F$5,2,FALSE),0))</f>
        <v>0</v>
      </c>
      <c r="I542" t="s">
        <v>55</v>
      </c>
    </row>
    <row r="543" spans="1:9">
      <c r="A543" t="s">
        <v>645</v>
      </c>
      <c r="B543" t="s">
        <v>52</v>
      </c>
      <c r="C543">
        <v>0</v>
      </c>
      <c r="D543">
        <v>0</v>
      </c>
      <c r="E543" t="s">
        <v>54</v>
      </c>
      <c r="F543">
        <v>0</v>
      </c>
      <c r="G543" t="s">
        <v>53</v>
      </c>
      <c r="H543">
        <f>MAX(IFERROR(VLOOKUP(LOWER(SUBSTITUTE(E543,"*","")),Parameters!$E$2:$F$5,2,FALSE),0),IFERROR(VLOOKUP(LOWER(SUBSTITUTE(G543,"*","")),Parameters!$E$2:$F$5,2,FALSE),0))</f>
        <v>1</v>
      </c>
      <c r="I543" t="s">
        <v>55</v>
      </c>
    </row>
    <row r="544" spans="1:9">
      <c r="A544" t="s">
        <v>646</v>
      </c>
      <c r="B544" t="s">
        <v>52</v>
      </c>
      <c r="C544">
        <v>0</v>
      </c>
      <c r="D544">
        <v>0</v>
      </c>
      <c r="E544" t="s">
        <v>53</v>
      </c>
      <c r="F544">
        <v>0</v>
      </c>
      <c r="G544" t="s">
        <v>53</v>
      </c>
      <c r="H544">
        <f>MAX(IFERROR(VLOOKUP(LOWER(SUBSTITUTE(E544,"*","")),Parameters!$E$2:$F$5,2,FALSE),0),IFERROR(VLOOKUP(LOWER(SUBSTITUTE(G544,"*","")),Parameters!$E$2:$F$5,2,FALSE),0))</f>
        <v>0</v>
      </c>
      <c r="I544" t="s">
        <v>55</v>
      </c>
    </row>
    <row r="545" spans="1:9">
      <c r="A545" t="s">
        <v>647</v>
      </c>
      <c r="B545" t="s">
        <v>52</v>
      </c>
      <c r="C545">
        <v>0</v>
      </c>
      <c r="D545">
        <v>0</v>
      </c>
      <c r="E545" t="s">
        <v>53</v>
      </c>
      <c r="F545">
        <v>1</v>
      </c>
      <c r="G545" t="s">
        <v>83</v>
      </c>
      <c r="H545">
        <f>MAX(IFERROR(VLOOKUP(LOWER(SUBSTITUTE(E545,"*","")),Parameters!$E$2:$F$5,2,FALSE),0),IFERROR(VLOOKUP(LOWER(SUBSTITUTE(G545,"*","")),Parameters!$E$2:$F$5,2,FALSE),0))</f>
        <v>2</v>
      </c>
      <c r="I545" t="s">
        <v>55</v>
      </c>
    </row>
    <row r="546" spans="1:9">
      <c r="A546" t="s">
        <v>648</v>
      </c>
      <c r="B546" t="s">
        <v>52</v>
      </c>
      <c r="C546">
        <v>0</v>
      </c>
      <c r="D546">
        <v>0</v>
      </c>
      <c r="E546" t="s">
        <v>53</v>
      </c>
      <c r="F546">
        <v>1</v>
      </c>
      <c r="G546" t="s">
        <v>83</v>
      </c>
      <c r="H546">
        <f>MAX(IFERROR(VLOOKUP(LOWER(SUBSTITUTE(E546,"*","")),Parameters!$E$2:$F$5,2,FALSE),0),IFERROR(VLOOKUP(LOWER(SUBSTITUTE(G546,"*","")),Parameters!$E$2:$F$5,2,FALSE),0))</f>
        <v>2</v>
      </c>
      <c r="I546" t="s">
        <v>55</v>
      </c>
    </row>
    <row r="547" spans="1:9">
      <c r="A547" t="s">
        <v>649</v>
      </c>
      <c r="B547" t="s">
        <v>52</v>
      </c>
      <c r="C547">
        <v>0</v>
      </c>
      <c r="D547">
        <v>0</v>
      </c>
      <c r="E547" t="s">
        <v>53</v>
      </c>
      <c r="F547">
        <v>1</v>
      </c>
      <c r="G547" t="s">
        <v>83</v>
      </c>
      <c r="H547">
        <f>MAX(IFERROR(VLOOKUP(LOWER(SUBSTITUTE(E547,"*","")),Parameters!$E$2:$F$5,2,FALSE),0),IFERROR(VLOOKUP(LOWER(SUBSTITUTE(G547,"*","")),Parameters!$E$2:$F$5,2,FALSE),0))</f>
        <v>2</v>
      </c>
      <c r="I547" t="s">
        <v>55</v>
      </c>
    </row>
    <row r="548" spans="1:9">
      <c r="A548" t="s">
        <v>650</v>
      </c>
      <c r="B548" t="s">
        <v>52</v>
      </c>
      <c r="C548">
        <v>0</v>
      </c>
      <c r="D548">
        <v>0</v>
      </c>
      <c r="E548" t="s">
        <v>53</v>
      </c>
      <c r="F548">
        <v>0</v>
      </c>
      <c r="G548" t="s">
        <v>53</v>
      </c>
      <c r="H548">
        <f>MAX(IFERROR(VLOOKUP(LOWER(SUBSTITUTE(E548,"*","")),Parameters!$E$2:$F$5,2,FALSE),0),IFERROR(VLOOKUP(LOWER(SUBSTITUTE(G548,"*","")),Parameters!$E$2:$F$5,2,FALSE),0))</f>
        <v>0</v>
      </c>
      <c r="I548" t="s">
        <v>55</v>
      </c>
    </row>
    <row r="549" spans="1:9">
      <c r="A549" t="s">
        <v>651</v>
      </c>
      <c r="B549" t="s">
        <v>52</v>
      </c>
      <c r="C549">
        <v>0</v>
      </c>
      <c r="D549">
        <v>0</v>
      </c>
      <c r="E549" t="s">
        <v>53</v>
      </c>
      <c r="F549">
        <v>0</v>
      </c>
      <c r="G549" t="s">
        <v>54</v>
      </c>
      <c r="H549">
        <f>MAX(IFERROR(VLOOKUP(LOWER(SUBSTITUTE(E549,"*","")),Parameters!$E$2:$F$5,2,FALSE),0),IFERROR(VLOOKUP(LOWER(SUBSTITUTE(G549,"*","")),Parameters!$E$2:$F$5,2,FALSE),0))</f>
        <v>1</v>
      </c>
      <c r="I549" t="s">
        <v>55</v>
      </c>
    </row>
    <row r="550" spans="1:9">
      <c r="A550" t="s">
        <v>652</v>
      </c>
      <c r="B550" t="s">
        <v>52</v>
      </c>
      <c r="C550">
        <v>0</v>
      </c>
      <c r="D550">
        <v>0</v>
      </c>
      <c r="E550" t="s">
        <v>53</v>
      </c>
      <c r="F550">
        <v>0</v>
      </c>
      <c r="G550" t="s">
        <v>54</v>
      </c>
      <c r="H550">
        <f>MAX(IFERROR(VLOOKUP(LOWER(SUBSTITUTE(E550,"*","")),Parameters!$E$2:$F$5,2,FALSE),0),IFERROR(VLOOKUP(LOWER(SUBSTITUTE(G550,"*","")),Parameters!$E$2:$F$5,2,FALSE),0))</f>
        <v>1</v>
      </c>
      <c r="I550" t="s">
        <v>55</v>
      </c>
    </row>
    <row r="551" spans="1:9">
      <c r="A551" t="s">
        <v>653</v>
      </c>
      <c r="B551" t="s">
        <v>121</v>
      </c>
      <c r="C551">
        <v>0</v>
      </c>
      <c r="D551">
        <v>1</v>
      </c>
      <c r="E551" t="s">
        <v>86</v>
      </c>
      <c r="F551">
        <v>1</v>
      </c>
      <c r="G551" t="s">
        <v>83</v>
      </c>
      <c r="H551">
        <f>MAX(IFERROR(VLOOKUP(LOWER(SUBSTITUTE(E551,"*","")),Parameters!$E$2:$F$5,2,FALSE),0),IFERROR(VLOOKUP(LOWER(SUBSTITUTE(G551,"*","")),Parameters!$E$2:$F$5,2,FALSE),0))</f>
        <v>3</v>
      </c>
      <c r="I551" t="s">
        <v>63</v>
      </c>
    </row>
    <row r="552" spans="1:9">
      <c r="A552" t="s">
        <v>654</v>
      </c>
      <c r="B552" t="s">
        <v>52</v>
      </c>
      <c r="C552">
        <v>0</v>
      </c>
      <c r="D552">
        <v>0</v>
      </c>
      <c r="E552" t="s">
        <v>53</v>
      </c>
      <c r="F552">
        <v>0</v>
      </c>
      <c r="G552" t="s">
        <v>53</v>
      </c>
      <c r="H552">
        <f>MAX(IFERROR(VLOOKUP(LOWER(SUBSTITUTE(E552,"*","")),Parameters!$E$2:$F$5,2,FALSE),0),IFERROR(VLOOKUP(LOWER(SUBSTITUTE(G552,"*","")),Parameters!$E$2:$F$5,2,FALSE),0))</f>
        <v>0</v>
      </c>
      <c r="I552" t="s">
        <v>55</v>
      </c>
    </row>
    <row r="553" spans="1:9">
      <c r="A553" t="s">
        <v>655</v>
      </c>
      <c r="B553" t="s">
        <v>52</v>
      </c>
      <c r="C553">
        <v>0</v>
      </c>
      <c r="D553">
        <v>0</v>
      </c>
      <c r="E553" t="s">
        <v>53</v>
      </c>
      <c r="F553">
        <v>0</v>
      </c>
      <c r="G553" t="s">
        <v>54</v>
      </c>
      <c r="H553">
        <f>MAX(IFERROR(VLOOKUP(LOWER(SUBSTITUTE(E553,"*","")),Parameters!$E$2:$F$5,2,FALSE),0),IFERROR(VLOOKUP(LOWER(SUBSTITUTE(G553,"*","")),Parameters!$E$2:$F$5,2,FALSE),0))</f>
        <v>1</v>
      </c>
      <c r="I553" t="s">
        <v>55</v>
      </c>
    </row>
    <row r="554" spans="1:9">
      <c r="A554" t="s">
        <v>656</v>
      </c>
      <c r="B554" t="s">
        <v>232</v>
      </c>
      <c r="C554">
        <v>0</v>
      </c>
      <c r="D554">
        <v>1</v>
      </c>
      <c r="E554" t="s">
        <v>86</v>
      </c>
      <c r="F554">
        <v>0</v>
      </c>
      <c r="G554" t="s">
        <v>54</v>
      </c>
      <c r="H554">
        <f>MAX(IFERROR(VLOOKUP(LOWER(SUBSTITUTE(E554,"*","")),Parameters!$E$2:$F$5,2,FALSE),0),IFERROR(VLOOKUP(LOWER(SUBSTITUTE(G554,"*","")),Parameters!$E$2:$F$5,2,FALSE),0))</f>
        <v>3</v>
      </c>
      <c r="I554" t="s">
        <v>63</v>
      </c>
    </row>
    <row r="555" spans="1:9">
      <c r="A555" t="s">
        <v>657</v>
      </c>
      <c r="B555" t="s">
        <v>165</v>
      </c>
      <c r="C555">
        <v>0</v>
      </c>
      <c r="D555">
        <v>0</v>
      </c>
      <c r="E555" t="s">
        <v>53</v>
      </c>
      <c r="F555">
        <v>1</v>
      </c>
      <c r="G555" t="s">
        <v>83</v>
      </c>
      <c r="H555">
        <f>MAX(IFERROR(VLOOKUP(LOWER(SUBSTITUTE(E555,"*","")),Parameters!$E$2:$F$5,2,FALSE),0),IFERROR(VLOOKUP(LOWER(SUBSTITUTE(G555,"*","")),Parameters!$E$2:$F$5,2,FALSE),0))</f>
        <v>2</v>
      </c>
      <c r="I555" t="s">
        <v>63</v>
      </c>
    </row>
    <row r="556" spans="1:9">
      <c r="A556" t="s">
        <v>658</v>
      </c>
      <c r="B556" t="s">
        <v>52</v>
      </c>
      <c r="C556">
        <v>0</v>
      </c>
      <c r="D556">
        <v>0</v>
      </c>
      <c r="E556" t="s">
        <v>53</v>
      </c>
      <c r="F556">
        <v>0</v>
      </c>
      <c r="G556" t="s">
        <v>53</v>
      </c>
      <c r="H556">
        <f>MAX(IFERROR(VLOOKUP(LOWER(SUBSTITUTE(E556,"*","")),Parameters!$E$2:$F$5,2,FALSE),0),IFERROR(VLOOKUP(LOWER(SUBSTITUTE(G556,"*","")),Parameters!$E$2:$F$5,2,FALSE),0))</f>
        <v>0</v>
      </c>
      <c r="I556" t="s">
        <v>55</v>
      </c>
    </row>
    <row r="557" spans="1:9">
      <c r="A557" t="s">
        <v>659</v>
      </c>
      <c r="B557" t="s">
        <v>660</v>
      </c>
      <c r="C557">
        <v>1</v>
      </c>
      <c r="D557">
        <v>1</v>
      </c>
      <c r="E557" t="s">
        <v>83</v>
      </c>
      <c r="F557">
        <v>1</v>
      </c>
      <c r="G557" t="s">
        <v>83</v>
      </c>
      <c r="H557">
        <f>MAX(IFERROR(VLOOKUP(LOWER(SUBSTITUTE(E557,"*","")),Parameters!$E$2:$F$5,2,FALSE),0),IFERROR(VLOOKUP(LOWER(SUBSTITUTE(G557,"*","")),Parameters!$E$2:$F$5,2,FALSE),0))</f>
        <v>2</v>
      </c>
      <c r="I557" t="s">
        <v>63</v>
      </c>
    </row>
    <row r="558" spans="1:9">
      <c r="A558" t="s">
        <v>661</v>
      </c>
      <c r="B558" t="s">
        <v>52</v>
      </c>
      <c r="C558">
        <v>0</v>
      </c>
      <c r="D558">
        <v>0</v>
      </c>
      <c r="E558" t="s">
        <v>53</v>
      </c>
      <c r="F558">
        <v>0</v>
      </c>
      <c r="G558" t="s">
        <v>54</v>
      </c>
      <c r="H558">
        <f>MAX(IFERROR(VLOOKUP(LOWER(SUBSTITUTE(E558,"*","")),Parameters!$E$2:$F$5,2,FALSE),0),IFERROR(VLOOKUP(LOWER(SUBSTITUTE(G558,"*","")),Parameters!$E$2:$F$5,2,FALSE),0))</f>
        <v>1</v>
      </c>
      <c r="I558" t="s">
        <v>55</v>
      </c>
    </row>
    <row r="559" spans="1:9">
      <c r="A559" t="s">
        <v>662</v>
      </c>
      <c r="B559" t="s">
        <v>52</v>
      </c>
      <c r="C559">
        <v>0</v>
      </c>
      <c r="D559">
        <v>0</v>
      </c>
      <c r="E559" t="s">
        <v>53</v>
      </c>
      <c r="F559">
        <v>0</v>
      </c>
      <c r="G559" t="s">
        <v>53</v>
      </c>
      <c r="H559">
        <f>MAX(IFERROR(VLOOKUP(LOWER(SUBSTITUTE(E559,"*","")),Parameters!$E$2:$F$5,2,FALSE),0),IFERROR(VLOOKUP(LOWER(SUBSTITUTE(G559,"*","")),Parameters!$E$2:$F$5,2,FALSE),0))</f>
        <v>0</v>
      </c>
      <c r="I559" t="s">
        <v>55</v>
      </c>
    </row>
    <row r="560" spans="1:9">
      <c r="A560" t="s">
        <v>663</v>
      </c>
      <c r="B560" t="s">
        <v>456</v>
      </c>
      <c r="C560">
        <v>0</v>
      </c>
      <c r="D560">
        <v>0</v>
      </c>
      <c r="E560" t="s">
        <v>54</v>
      </c>
      <c r="F560">
        <v>1</v>
      </c>
      <c r="G560" t="s">
        <v>83</v>
      </c>
      <c r="H560">
        <f>MAX(IFERROR(VLOOKUP(LOWER(SUBSTITUTE(E560,"*","")),Parameters!$E$2:$F$5,2,FALSE),0),IFERROR(VLOOKUP(LOWER(SUBSTITUTE(G560,"*","")),Parameters!$E$2:$F$5,2,FALSE),0))</f>
        <v>2</v>
      </c>
      <c r="I560" t="s">
        <v>63</v>
      </c>
    </row>
    <row r="561" spans="1:9">
      <c r="A561" t="s">
        <v>664</v>
      </c>
      <c r="B561" t="s">
        <v>85</v>
      </c>
      <c r="C561">
        <v>1</v>
      </c>
      <c r="D561">
        <v>0</v>
      </c>
      <c r="E561" t="s">
        <v>54</v>
      </c>
      <c r="F561">
        <v>1</v>
      </c>
      <c r="G561" t="s">
        <v>86</v>
      </c>
      <c r="H561">
        <f>MAX(IFERROR(VLOOKUP(LOWER(SUBSTITUTE(E561,"*","")),Parameters!$E$2:$F$5,2,FALSE),0),IFERROR(VLOOKUP(LOWER(SUBSTITUTE(G561,"*","")),Parameters!$E$2:$F$5,2,FALSE),0))</f>
        <v>3</v>
      </c>
      <c r="I561" t="s">
        <v>63</v>
      </c>
    </row>
    <row r="562" spans="1:9">
      <c r="A562" t="s">
        <v>665</v>
      </c>
      <c r="B562" t="s">
        <v>52</v>
      </c>
      <c r="C562">
        <v>0</v>
      </c>
      <c r="D562">
        <v>0</v>
      </c>
      <c r="E562" t="s">
        <v>53</v>
      </c>
      <c r="F562">
        <v>0</v>
      </c>
      <c r="G562" t="s">
        <v>53</v>
      </c>
      <c r="H562">
        <f>MAX(IFERROR(VLOOKUP(LOWER(SUBSTITUTE(E562,"*","")),Parameters!$E$2:$F$5,2,FALSE),0),IFERROR(VLOOKUP(LOWER(SUBSTITUTE(G562,"*","")),Parameters!$E$2:$F$5,2,FALSE),0))</f>
        <v>0</v>
      </c>
      <c r="I562" t="s">
        <v>55</v>
      </c>
    </row>
    <row r="563" spans="1:9">
      <c r="A563" t="s">
        <v>666</v>
      </c>
      <c r="B563" t="s">
        <v>52</v>
      </c>
      <c r="C563">
        <v>0</v>
      </c>
      <c r="D563">
        <v>1</v>
      </c>
      <c r="E563" t="s">
        <v>86</v>
      </c>
      <c r="F563">
        <v>1</v>
      </c>
      <c r="G563" t="s">
        <v>86</v>
      </c>
      <c r="H563">
        <f>MAX(IFERROR(VLOOKUP(LOWER(SUBSTITUTE(E563,"*","")),Parameters!$E$2:$F$5,2,FALSE),0),IFERROR(VLOOKUP(LOWER(SUBSTITUTE(G563,"*","")),Parameters!$E$2:$F$5,2,FALSE),0))</f>
        <v>3</v>
      </c>
      <c r="I563" t="s">
        <v>55</v>
      </c>
    </row>
    <row r="564" spans="1:9">
      <c r="A564" t="s">
        <v>667</v>
      </c>
      <c r="B564" t="s">
        <v>125</v>
      </c>
      <c r="C564">
        <v>1</v>
      </c>
      <c r="D564">
        <v>1</v>
      </c>
      <c r="E564" t="s">
        <v>86</v>
      </c>
      <c r="F564">
        <v>0</v>
      </c>
      <c r="G564" t="s">
        <v>54</v>
      </c>
      <c r="H564">
        <f>MAX(IFERROR(VLOOKUP(LOWER(SUBSTITUTE(E564,"*","")),Parameters!$E$2:$F$5,2,FALSE),0),IFERROR(VLOOKUP(LOWER(SUBSTITUTE(G564,"*","")),Parameters!$E$2:$F$5,2,FALSE),0))</f>
        <v>3</v>
      </c>
      <c r="I564" t="s">
        <v>63</v>
      </c>
    </row>
    <row r="565" spans="1:9">
      <c r="A565" t="s">
        <v>668</v>
      </c>
      <c r="B565" t="s">
        <v>52</v>
      </c>
      <c r="C565">
        <v>0</v>
      </c>
      <c r="D565">
        <v>0</v>
      </c>
      <c r="E565" t="s">
        <v>53</v>
      </c>
      <c r="F565">
        <v>0</v>
      </c>
      <c r="G565" t="s">
        <v>53</v>
      </c>
      <c r="H565">
        <f>MAX(IFERROR(VLOOKUP(LOWER(SUBSTITUTE(E565,"*","")),Parameters!$E$2:$F$5,2,FALSE),0),IFERROR(VLOOKUP(LOWER(SUBSTITUTE(G565,"*","")),Parameters!$E$2:$F$5,2,FALSE),0))</f>
        <v>0</v>
      </c>
      <c r="I565" t="s">
        <v>55</v>
      </c>
    </row>
    <row r="566" spans="1:9">
      <c r="A566" t="s">
        <v>669</v>
      </c>
      <c r="B566" t="s">
        <v>52</v>
      </c>
      <c r="C566">
        <v>0</v>
      </c>
      <c r="D566">
        <v>1</v>
      </c>
      <c r="E566" t="s">
        <v>86</v>
      </c>
      <c r="F566">
        <v>1</v>
      </c>
      <c r="G566" t="s">
        <v>86</v>
      </c>
      <c r="H566">
        <f>MAX(IFERROR(VLOOKUP(LOWER(SUBSTITUTE(E566,"*","")),Parameters!$E$2:$F$5,2,FALSE),0),IFERROR(VLOOKUP(LOWER(SUBSTITUTE(G566,"*","")),Parameters!$E$2:$F$5,2,FALSE),0))</f>
        <v>3</v>
      </c>
      <c r="I566" t="s">
        <v>55</v>
      </c>
    </row>
    <row r="567" spans="1:9">
      <c r="A567" t="s">
        <v>670</v>
      </c>
      <c r="B567" t="s">
        <v>146</v>
      </c>
      <c r="C567">
        <v>1</v>
      </c>
      <c r="D567">
        <v>1</v>
      </c>
      <c r="E567" t="s">
        <v>86</v>
      </c>
      <c r="F567">
        <v>0</v>
      </c>
      <c r="G567" t="s">
        <v>54</v>
      </c>
      <c r="H567">
        <f>MAX(IFERROR(VLOOKUP(LOWER(SUBSTITUTE(E567,"*","")),Parameters!$E$2:$F$5,2,FALSE),0),IFERROR(VLOOKUP(LOWER(SUBSTITUTE(G567,"*","")),Parameters!$E$2:$F$5,2,FALSE),0))</f>
        <v>3</v>
      </c>
      <c r="I567" t="s">
        <v>63</v>
      </c>
    </row>
    <row r="568" spans="1:9">
      <c r="A568" t="s">
        <v>671</v>
      </c>
      <c r="B568" t="s">
        <v>232</v>
      </c>
      <c r="C568">
        <v>0</v>
      </c>
      <c r="D568">
        <v>1</v>
      </c>
      <c r="E568" t="s">
        <v>86</v>
      </c>
      <c r="F568">
        <v>0</v>
      </c>
      <c r="G568" t="s">
        <v>54</v>
      </c>
      <c r="H568">
        <f>MAX(IFERROR(VLOOKUP(LOWER(SUBSTITUTE(E568,"*","")),Parameters!$E$2:$F$5,2,FALSE),0),IFERROR(VLOOKUP(LOWER(SUBSTITUTE(G568,"*","")),Parameters!$E$2:$F$5,2,FALSE),0))</f>
        <v>3</v>
      </c>
      <c r="I568" t="s">
        <v>63</v>
      </c>
    </row>
    <row r="569" spans="1:9">
      <c r="A569" t="s">
        <v>672</v>
      </c>
      <c r="B569" t="s">
        <v>52</v>
      </c>
      <c r="C569">
        <v>0</v>
      </c>
      <c r="D569">
        <v>0</v>
      </c>
      <c r="E569" t="s">
        <v>53</v>
      </c>
      <c r="F569">
        <v>0</v>
      </c>
      <c r="G569" t="s">
        <v>53</v>
      </c>
      <c r="H569">
        <f>MAX(IFERROR(VLOOKUP(LOWER(SUBSTITUTE(E569,"*","")),Parameters!$E$2:$F$5,2,FALSE),0),IFERROR(VLOOKUP(LOWER(SUBSTITUTE(G569,"*","")),Parameters!$E$2:$F$5,2,FALSE),0))</f>
        <v>0</v>
      </c>
      <c r="I569" t="s">
        <v>55</v>
      </c>
    </row>
    <row r="570" spans="1:9">
      <c r="A570" t="s">
        <v>673</v>
      </c>
      <c r="B570" t="s">
        <v>52</v>
      </c>
      <c r="C570">
        <v>0</v>
      </c>
      <c r="D570">
        <v>0</v>
      </c>
      <c r="E570" t="s">
        <v>53</v>
      </c>
      <c r="F570">
        <v>0</v>
      </c>
      <c r="G570" t="s">
        <v>53</v>
      </c>
      <c r="H570">
        <f>MAX(IFERROR(VLOOKUP(LOWER(SUBSTITUTE(E570,"*","")),Parameters!$E$2:$F$5,2,FALSE),0),IFERROR(VLOOKUP(LOWER(SUBSTITUTE(G570,"*","")),Parameters!$E$2:$F$5,2,FALSE),0))</f>
        <v>0</v>
      </c>
      <c r="I570" t="s">
        <v>55</v>
      </c>
    </row>
    <row r="571" spans="1:9">
      <c r="A571" t="s">
        <v>674</v>
      </c>
      <c r="B571" t="s">
        <v>52</v>
      </c>
      <c r="C571">
        <v>0</v>
      </c>
      <c r="D571">
        <v>0</v>
      </c>
      <c r="E571" t="s">
        <v>53</v>
      </c>
      <c r="F571">
        <v>0</v>
      </c>
      <c r="G571" t="s">
        <v>53</v>
      </c>
      <c r="H571">
        <f>MAX(IFERROR(VLOOKUP(LOWER(SUBSTITUTE(E571,"*","")),Parameters!$E$2:$F$5,2,FALSE),0),IFERROR(VLOOKUP(LOWER(SUBSTITUTE(G571,"*","")),Parameters!$E$2:$F$5,2,FALSE),0))</f>
        <v>0</v>
      </c>
      <c r="I571" t="s">
        <v>55</v>
      </c>
    </row>
    <row r="572" spans="1:9">
      <c r="A572" t="s">
        <v>675</v>
      </c>
      <c r="B572" t="s">
        <v>52</v>
      </c>
      <c r="C572">
        <v>0</v>
      </c>
      <c r="D572">
        <v>0</v>
      </c>
      <c r="E572" t="s">
        <v>53</v>
      </c>
      <c r="F572">
        <v>0</v>
      </c>
      <c r="G572" t="s">
        <v>53</v>
      </c>
      <c r="H572">
        <f>MAX(IFERROR(VLOOKUP(LOWER(SUBSTITUTE(E572,"*","")),Parameters!$E$2:$F$5,2,FALSE),0),IFERROR(VLOOKUP(LOWER(SUBSTITUTE(G572,"*","")),Parameters!$E$2:$F$5,2,FALSE),0))</f>
        <v>0</v>
      </c>
      <c r="I572" t="s">
        <v>55</v>
      </c>
    </row>
    <row r="573" spans="1:9">
      <c r="A573" t="s">
        <v>676</v>
      </c>
      <c r="B573" t="s">
        <v>165</v>
      </c>
      <c r="C573">
        <v>0</v>
      </c>
      <c r="D573">
        <v>0</v>
      </c>
      <c r="E573" t="s">
        <v>54</v>
      </c>
      <c r="F573">
        <v>1</v>
      </c>
      <c r="G573" t="s">
        <v>83</v>
      </c>
      <c r="H573">
        <f>MAX(IFERROR(VLOOKUP(LOWER(SUBSTITUTE(E573,"*","")),Parameters!$E$2:$F$5,2,FALSE),0),IFERROR(VLOOKUP(LOWER(SUBSTITUTE(G573,"*","")),Parameters!$E$2:$F$5,2,FALSE),0))</f>
        <v>2</v>
      </c>
      <c r="I573" t="s">
        <v>63</v>
      </c>
    </row>
    <row r="574" spans="1:9">
      <c r="A574" t="s">
        <v>677</v>
      </c>
      <c r="B574" t="s">
        <v>52</v>
      </c>
      <c r="C574">
        <v>0</v>
      </c>
      <c r="D574">
        <v>0</v>
      </c>
      <c r="E574" t="s">
        <v>53</v>
      </c>
      <c r="F574">
        <v>0</v>
      </c>
      <c r="G574" t="s">
        <v>54</v>
      </c>
      <c r="H574">
        <f>MAX(IFERROR(VLOOKUP(LOWER(SUBSTITUTE(E574,"*","")),Parameters!$E$2:$F$5,2,FALSE),0),IFERROR(VLOOKUP(LOWER(SUBSTITUTE(G574,"*","")),Parameters!$E$2:$F$5,2,FALSE),0))</f>
        <v>1</v>
      </c>
      <c r="I574" t="s">
        <v>55</v>
      </c>
    </row>
    <row r="575" spans="1:9">
      <c r="A575" t="s">
        <v>678</v>
      </c>
      <c r="B575" t="s">
        <v>52</v>
      </c>
      <c r="C575">
        <v>0</v>
      </c>
      <c r="D575">
        <v>0</v>
      </c>
      <c r="E575" t="s">
        <v>54</v>
      </c>
      <c r="F575">
        <v>0</v>
      </c>
      <c r="G575" t="s">
        <v>53</v>
      </c>
      <c r="H575">
        <f>MAX(IFERROR(VLOOKUP(LOWER(SUBSTITUTE(E575,"*","")),Parameters!$E$2:$F$5,2,FALSE),0),IFERROR(VLOOKUP(LOWER(SUBSTITUTE(G575,"*","")),Parameters!$E$2:$F$5,2,FALSE),0))</f>
        <v>1</v>
      </c>
      <c r="I575" t="s">
        <v>55</v>
      </c>
    </row>
    <row r="576" spans="1:9">
      <c r="A576" t="s">
        <v>679</v>
      </c>
      <c r="B576" t="s">
        <v>52</v>
      </c>
      <c r="C576">
        <v>0</v>
      </c>
      <c r="D576">
        <v>0</v>
      </c>
      <c r="E576" t="s">
        <v>53</v>
      </c>
      <c r="F576">
        <v>0</v>
      </c>
      <c r="G576" t="s">
        <v>54</v>
      </c>
      <c r="H576">
        <f>MAX(IFERROR(VLOOKUP(LOWER(SUBSTITUTE(E576,"*","")),Parameters!$E$2:$F$5,2,FALSE),0),IFERROR(VLOOKUP(LOWER(SUBSTITUTE(G576,"*","")),Parameters!$E$2:$F$5,2,FALSE),0))</f>
        <v>1</v>
      </c>
      <c r="I576" t="s">
        <v>55</v>
      </c>
    </row>
    <row r="577" spans="1:9">
      <c r="A577" t="s">
        <v>680</v>
      </c>
      <c r="B577" t="s">
        <v>52</v>
      </c>
      <c r="C577">
        <v>0</v>
      </c>
      <c r="D577">
        <v>0</v>
      </c>
      <c r="E577" t="s">
        <v>53</v>
      </c>
      <c r="F577">
        <v>0</v>
      </c>
      <c r="G577" t="s">
        <v>53</v>
      </c>
      <c r="H577">
        <f>MAX(IFERROR(VLOOKUP(LOWER(SUBSTITUTE(E577,"*","")),Parameters!$E$2:$F$5,2,FALSE),0),IFERROR(VLOOKUP(LOWER(SUBSTITUTE(G577,"*","")),Parameters!$E$2:$F$5,2,FALSE),0))</f>
        <v>0</v>
      </c>
      <c r="I577" t="s">
        <v>55</v>
      </c>
    </row>
    <row r="578" spans="1:9">
      <c r="A578" t="s">
        <v>681</v>
      </c>
      <c r="B578" t="s">
        <v>52</v>
      </c>
      <c r="C578">
        <v>0</v>
      </c>
      <c r="D578">
        <v>0</v>
      </c>
      <c r="E578" t="s">
        <v>53</v>
      </c>
      <c r="F578">
        <v>0</v>
      </c>
      <c r="G578" t="s">
        <v>53</v>
      </c>
      <c r="H578">
        <f>MAX(IFERROR(VLOOKUP(LOWER(SUBSTITUTE(E578,"*","")),Parameters!$E$2:$F$5,2,FALSE),0),IFERROR(VLOOKUP(LOWER(SUBSTITUTE(G578,"*","")),Parameters!$E$2:$F$5,2,FALSE),0))</f>
        <v>0</v>
      </c>
      <c r="I578" t="s">
        <v>55</v>
      </c>
    </row>
    <row r="579" spans="1:9">
      <c r="A579" t="s">
        <v>682</v>
      </c>
      <c r="B579" t="s">
        <v>52</v>
      </c>
      <c r="C579">
        <v>0</v>
      </c>
      <c r="D579">
        <v>0</v>
      </c>
      <c r="E579" t="s">
        <v>53</v>
      </c>
      <c r="F579">
        <v>0</v>
      </c>
      <c r="G579" t="s">
        <v>54</v>
      </c>
      <c r="H579">
        <f>MAX(IFERROR(VLOOKUP(LOWER(SUBSTITUTE(E579,"*","")),Parameters!$E$2:$F$5,2,FALSE),0),IFERROR(VLOOKUP(LOWER(SUBSTITUTE(G579,"*","")),Parameters!$E$2:$F$5,2,FALSE),0))</f>
        <v>1</v>
      </c>
      <c r="I579" t="s">
        <v>55</v>
      </c>
    </row>
    <row r="580" spans="1:9">
      <c r="A580" t="s">
        <v>683</v>
      </c>
      <c r="B580" t="s">
        <v>52</v>
      </c>
      <c r="C580">
        <v>0</v>
      </c>
      <c r="D580">
        <v>0</v>
      </c>
      <c r="E580" t="s">
        <v>53</v>
      </c>
      <c r="F580">
        <v>0</v>
      </c>
      <c r="G580" t="s">
        <v>54</v>
      </c>
      <c r="H580">
        <f>MAX(IFERROR(VLOOKUP(LOWER(SUBSTITUTE(E580,"*","")),Parameters!$E$2:$F$5,2,FALSE),0),IFERROR(VLOOKUP(LOWER(SUBSTITUTE(G580,"*","")),Parameters!$E$2:$F$5,2,FALSE),0))</f>
        <v>1</v>
      </c>
      <c r="I580" t="s">
        <v>55</v>
      </c>
    </row>
    <row r="581" spans="1:9">
      <c r="A581" t="s">
        <v>684</v>
      </c>
      <c r="B581" t="s">
        <v>242</v>
      </c>
      <c r="C581">
        <v>0</v>
      </c>
      <c r="D581">
        <v>0</v>
      </c>
      <c r="E581" t="s">
        <v>54</v>
      </c>
      <c r="F581">
        <v>1</v>
      </c>
      <c r="G581" t="s">
        <v>83</v>
      </c>
      <c r="H581">
        <f>MAX(IFERROR(VLOOKUP(LOWER(SUBSTITUTE(E581,"*","")),Parameters!$E$2:$F$5,2,FALSE),0),IFERROR(VLOOKUP(LOWER(SUBSTITUTE(G581,"*","")),Parameters!$E$2:$F$5,2,FALSE),0))</f>
        <v>2</v>
      </c>
      <c r="I581" t="s">
        <v>63</v>
      </c>
    </row>
    <row r="582" spans="1:9">
      <c r="A582" t="s">
        <v>685</v>
      </c>
      <c r="B582" t="s">
        <v>52</v>
      </c>
      <c r="C582">
        <v>0</v>
      </c>
      <c r="D582">
        <v>0</v>
      </c>
      <c r="E582" t="s">
        <v>53</v>
      </c>
      <c r="F582">
        <v>0</v>
      </c>
      <c r="G582" t="s">
        <v>54</v>
      </c>
      <c r="H582">
        <f>MAX(IFERROR(VLOOKUP(LOWER(SUBSTITUTE(E582,"*","")),Parameters!$E$2:$F$5,2,FALSE),0),IFERROR(VLOOKUP(LOWER(SUBSTITUTE(G582,"*","")),Parameters!$E$2:$F$5,2,FALSE),0))</f>
        <v>1</v>
      </c>
      <c r="I582" t="s">
        <v>55</v>
      </c>
    </row>
    <row r="583" spans="1:9">
      <c r="A583" t="s">
        <v>686</v>
      </c>
      <c r="B583" t="s">
        <v>52</v>
      </c>
      <c r="C583">
        <v>0</v>
      </c>
      <c r="D583">
        <v>0</v>
      </c>
      <c r="E583" t="s">
        <v>53</v>
      </c>
      <c r="F583">
        <v>0</v>
      </c>
      <c r="G583" t="s">
        <v>54</v>
      </c>
      <c r="H583">
        <f>MAX(IFERROR(VLOOKUP(LOWER(SUBSTITUTE(E583,"*","")),Parameters!$E$2:$F$5,2,FALSE),0),IFERROR(VLOOKUP(LOWER(SUBSTITUTE(G583,"*","")),Parameters!$E$2:$F$5,2,FALSE),0))</f>
        <v>1</v>
      </c>
      <c r="I583" t="s">
        <v>55</v>
      </c>
    </row>
    <row r="584" spans="1:9">
      <c r="A584" t="s">
        <v>687</v>
      </c>
      <c r="B584" t="s">
        <v>52</v>
      </c>
      <c r="C584">
        <v>0</v>
      </c>
      <c r="D584">
        <v>0</v>
      </c>
      <c r="E584" t="s">
        <v>53</v>
      </c>
      <c r="F584">
        <v>0</v>
      </c>
      <c r="G584" t="s">
        <v>53</v>
      </c>
      <c r="H584">
        <f>MAX(IFERROR(VLOOKUP(LOWER(SUBSTITUTE(E584,"*","")),Parameters!$E$2:$F$5,2,FALSE),0),IFERROR(VLOOKUP(LOWER(SUBSTITUTE(G584,"*","")),Parameters!$E$2:$F$5,2,FALSE),0))</f>
        <v>0</v>
      </c>
      <c r="I584" t="s">
        <v>55</v>
      </c>
    </row>
    <row r="585" spans="1:9">
      <c r="A585" t="s">
        <v>688</v>
      </c>
      <c r="B585" t="s">
        <v>52</v>
      </c>
      <c r="C585">
        <v>0</v>
      </c>
      <c r="D585">
        <v>0</v>
      </c>
      <c r="E585" t="s">
        <v>53</v>
      </c>
      <c r="F585">
        <v>0</v>
      </c>
      <c r="G585" t="s">
        <v>53</v>
      </c>
      <c r="H585">
        <f>MAX(IFERROR(VLOOKUP(LOWER(SUBSTITUTE(E585,"*","")),Parameters!$E$2:$F$5,2,FALSE),0),IFERROR(VLOOKUP(LOWER(SUBSTITUTE(G585,"*","")),Parameters!$E$2:$F$5,2,FALSE),0))</f>
        <v>0</v>
      </c>
      <c r="I585" t="s">
        <v>55</v>
      </c>
    </row>
    <row r="586" spans="1:9">
      <c r="A586" t="s">
        <v>689</v>
      </c>
      <c r="B586" t="s">
        <v>52</v>
      </c>
      <c r="C586">
        <v>0</v>
      </c>
      <c r="D586">
        <v>0</v>
      </c>
      <c r="E586" t="s">
        <v>53</v>
      </c>
      <c r="F586">
        <v>0</v>
      </c>
      <c r="G586" t="s">
        <v>54</v>
      </c>
      <c r="H586">
        <f>MAX(IFERROR(VLOOKUP(LOWER(SUBSTITUTE(E586,"*","")),Parameters!$E$2:$F$5,2,FALSE),0),IFERROR(VLOOKUP(LOWER(SUBSTITUTE(G586,"*","")),Parameters!$E$2:$F$5,2,FALSE),0))</f>
        <v>1</v>
      </c>
      <c r="I586" t="s">
        <v>55</v>
      </c>
    </row>
    <row r="587" spans="1:9">
      <c r="A587" t="s">
        <v>690</v>
      </c>
      <c r="B587" t="s">
        <v>52</v>
      </c>
      <c r="C587">
        <v>0</v>
      </c>
      <c r="D587">
        <v>0</v>
      </c>
      <c r="E587" t="s">
        <v>53</v>
      </c>
      <c r="F587">
        <v>1</v>
      </c>
      <c r="G587" t="s">
        <v>83</v>
      </c>
      <c r="H587">
        <f>MAX(IFERROR(VLOOKUP(LOWER(SUBSTITUTE(E587,"*","")),Parameters!$E$2:$F$5,2,FALSE),0),IFERROR(VLOOKUP(LOWER(SUBSTITUTE(G587,"*","")),Parameters!$E$2:$F$5,2,FALSE),0))</f>
        <v>2</v>
      </c>
      <c r="I587" t="s">
        <v>55</v>
      </c>
    </row>
    <row r="588" spans="1:9">
      <c r="A588" t="s">
        <v>691</v>
      </c>
      <c r="B588" t="s">
        <v>103</v>
      </c>
      <c r="C588">
        <v>0</v>
      </c>
      <c r="D588">
        <v>0</v>
      </c>
      <c r="E588" t="s">
        <v>54</v>
      </c>
      <c r="F588">
        <v>0</v>
      </c>
      <c r="G588" t="s">
        <v>53</v>
      </c>
      <c r="H588">
        <f>MAX(IFERROR(VLOOKUP(LOWER(SUBSTITUTE(E588,"*","")),Parameters!$E$2:$F$5,2,FALSE),0),IFERROR(VLOOKUP(LOWER(SUBSTITUTE(G588,"*","")),Parameters!$E$2:$F$5,2,FALSE),0))</f>
        <v>1</v>
      </c>
      <c r="I588" t="s">
        <v>63</v>
      </c>
    </row>
    <row r="589" spans="1:9">
      <c r="A589" t="s">
        <v>692</v>
      </c>
      <c r="B589" t="s">
        <v>52</v>
      </c>
      <c r="C589">
        <v>0</v>
      </c>
      <c r="D589">
        <v>0</v>
      </c>
      <c r="E589" t="s">
        <v>53</v>
      </c>
      <c r="F589">
        <v>0</v>
      </c>
      <c r="G589" t="s">
        <v>54</v>
      </c>
      <c r="H589">
        <f>MAX(IFERROR(VLOOKUP(LOWER(SUBSTITUTE(E589,"*","")),Parameters!$E$2:$F$5,2,FALSE),0),IFERROR(VLOOKUP(LOWER(SUBSTITUTE(G589,"*","")),Parameters!$E$2:$F$5,2,FALSE),0))</f>
        <v>1</v>
      </c>
      <c r="I589" t="s">
        <v>55</v>
      </c>
    </row>
    <row r="590" spans="1:9">
      <c r="A590" t="s">
        <v>693</v>
      </c>
      <c r="B590" t="s">
        <v>52</v>
      </c>
      <c r="C590">
        <v>0</v>
      </c>
      <c r="D590">
        <v>0</v>
      </c>
      <c r="E590" t="s">
        <v>53</v>
      </c>
      <c r="F590">
        <v>0</v>
      </c>
      <c r="G590" t="s">
        <v>54</v>
      </c>
      <c r="H590">
        <f>MAX(IFERROR(VLOOKUP(LOWER(SUBSTITUTE(E590,"*","")),Parameters!$E$2:$F$5,2,FALSE),0),IFERROR(VLOOKUP(LOWER(SUBSTITUTE(G590,"*","")),Parameters!$E$2:$F$5,2,FALSE),0))</f>
        <v>1</v>
      </c>
      <c r="I590" t="s">
        <v>55</v>
      </c>
    </row>
    <row r="591" spans="1:9">
      <c r="A591" t="s">
        <v>694</v>
      </c>
      <c r="B591" t="s">
        <v>52</v>
      </c>
      <c r="C591">
        <v>0</v>
      </c>
      <c r="D591">
        <v>0</v>
      </c>
      <c r="E591" t="s">
        <v>54</v>
      </c>
      <c r="F591">
        <v>0</v>
      </c>
      <c r="G591" t="s">
        <v>54</v>
      </c>
      <c r="H591">
        <f>MAX(IFERROR(VLOOKUP(LOWER(SUBSTITUTE(E591,"*","")),Parameters!$E$2:$F$5,2,FALSE),0),IFERROR(VLOOKUP(LOWER(SUBSTITUTE(G591,"*","")),Parameters!$E$2:$F$5,2,FALSE),0))</f>
        <v>1</v>
      </c>
      <c r="I591" t="s">
        <v>55</v>
      </c>
    </row>
    <row r="592" spans="1:9">
      <c r="A592" t="s">
        <v>695</v>
      </c>
      <c r="B592" t="s">
        <v>52</v>
      </c>
      <c r="C592">
        <v>0</v>
      </c>
      <c r="D592">
        <v>0</v>
      </c>
      <c r="E592" t="s">
        <v>53</v>
      </c>
      <c r="F592">
        <v>0</v>
      </c>
      <c r="G592" t="s">
        <v>54</v>
      </c>
      <c r="H592">
        <f>MAX(IFERROR(VLOOKUP(LOWER(SUBSTITUTE(E592,"*","")),Parameters!$E$2:$F$5,2,FALSE),0),IFERROR(VLOOKUP(LOWER(SUBSTITUTE(G592,"*","")),Parameters!$E$2:$F$5,2,FALSE),0))</f>
        <v>1</v>
      </c>
      <c r="I592" t="s">
        <v>55</v>
      </c>
    </row>
    <row r="593" spans="1:9">
      <c r="A593" t="s">
        <v>696</v>
      </c>
      <c r="B593" t="s">
        <v>299</v>
      </c>
      <c r="C593">
        <v>1</v>
      </c>
      <c r="D593">
        <v>0</v>
      </c>
      <c r="E593" t="s">
        <v>53</v>
      </c>
      <c r="F593">
        <v>1</v>
      </c>
      <c r="G593" t="s">
        <v>86</v>
      </c>
      <c r="H593">
        <f>MAX(IFERROR(VLOOKUP(LOWER(SUBSTITUTE(E593,"*","")),Parameters!$E$2:$F$5,2,FALSE),0),IFERROR(VLOOKUP(LOWER(SUBSTITUTE(G593,"*","")),Parameters!$E$2:$F$5,2,FALSE),0))</f>
        <v>3</v>
      </c>
      <c r="I593" t="s">
        <v>63</v>
      </c>
    </row>
    <row r="594" spans="1:9">
      <c r="A594" t="s">
        <v>697</v>
      </c>
      <c r="B594" t="s">
        <v>52</v>
      </c>
      <c r="C594">
        <v>0</v>
      </c>
      <c r="D594">
        <v>0</v>
      </c>
      <c r="E594" t="s">
        <v>53</v>
      </c>
      <c r="F594">
        <v>0</v>
      </c>
      <c r="G594" t="s">
        <v>53</v>
      </c>
      <c r="H594">
        <f>MAX(IFERROR(VLOOKUP(LOWER(SUBSTITUTE(E594,"*","")),Parameters!$E$2:$F$5,2,FALSE),0),IFERROR(VLOOKUP(LOWER(SUBSTITUTE(G594,"*","")),Parameters!$E$2:$F$5,2,FALSE),0))</f>
        <v>0</v>
      </c>
      <c r="I594" t="s">
        <v>55</v>
      </c>
    </row>
    <row r="595" spans="1:9">
      <c r="A595" t="s">
        <v>698</v>
      </c>
      <c r="B595" t="s">
        <v>106</v>
      </c>
      <c r="C595">
        <v>1</v>
      </c>
      <c r="D595">
        <v>0</v>
      </c>
      <c r="E595" t="s">
        <v>54</v>
      </c>
      <c r="F595">
        <v>1</v>
      </c>
      <c r="G595" t="s">
        <v>86</v>
      </c>
      <c r="H595">
        <f>MAX(IFERROR(VLOOKUP(LOWER(SUBSTITUTE(E595,"*","")),Parameters!$E$2:$F$5,2,FALSE),0),IFERROR(VLOOKUP(LOWER(SUBSTITUTE(G595,"*","")),Parameters!$E$2:$F$5,2,FALSE),0))</f>
        <v>3</v>
      </c>
      <c r="I595" t="s">
        <v>63</v>
      </c>
    </row>
    <row r="596" spans="1:9">
      <c r="A596" t="s">
        <v>699</v>
      </c>
      <c r="B596" t="s">
        <v>52</v>
      </c>
      <c r="C596">
        <v>0</v>
      </c>
      <c r="D596">
        <v>0</v>
      </c>
      <c r="E596" t="s">
        <v>53</v>
      </c>
      <c r="F596">
        <v>1</v>
      </c>
      <c r="G596" t="s">
        <v>83</v>
      </c>
      <c r="H596">
        <f>MAX(IFERROR(VLOOKUP(LOWER(SUBSTITUTE(E596,"*","")),Parameters!$E$2:$F$5,2,FALSE),0),IFERROR(VLOOKUP(LOWER(SUBSTITUTE(G596,"*","")),Parameters!$E$2:$F$5,2,FALSE),0))</f>
        <v>2</v>
      </c>
      <c r="I596" t="s">
        <v>55</v>
      </c>
    </row>
    <row r="597" spans="1:9">
      <c r="A597" t="s">
        <v>700</v>
      </c>
      <c r="B597" t="s">
        <v>299</v>
      </c>
      <c r="C597">
        <v>1</v>
      </c>
      <c r="D597">
        <v>0</v>
      </c>
      <c r="E597" t="s">
        <v>53</v>
      </c>
      <c r="F597">
        <v>1</v>
      </c>
      <c r="G597" t="s">
        <v>86</v>
      </c>
      <c r="H597">
        <f>MAX(IFERROR(VLOOKUP(LOWER(SUBSTITUTE(E597,"*","")),Parameters!$E$2:$F$5,2,FALSE),0),IFERROR(VLOOKUP(LOWER(SUBSTITUTE(G597,"*","")),Parameters!$E$2:$F$5,2,FALSE),0))</f>
        <v>3</v>
      </c>
      <c r="I597" t="s">
        <v>63</v>
      </c>
    </row>
    <row r="598" spans="1:9">
      <c r="A598" t="s">
        <v>701</v>
      </c>
      <c r="B598" t="s">
        <v>52</v>
      </c>
      <c r="C598">
        <v>0</v>
      </c>
      <c r="D598">
        <v>0</v>
      </c>
      <c r="E598" t="s">
        <v>54</v>
      </c>
      <c r="F598">
        <v>1</v>
      </c>
      <c r="G598" t="s">
        <v>83</v>
      </c>
      <c r="H598">
        <f>MAX(IFERROR(VLOOKUP(LOWER(SUBSTITUTE(E598,"*","")),Parameters!$E$2:$F$5,2,FALSE),0),IFERROR(VLOOKUP(LOWER(SUBSTITUTE(G598,"*","")),Parameters!$E$2:$F$5,2,FALSE),0))</f>
        <v>2</v>
      </c>
      <c r="I598" t="s">
        <v>55</v>
      </c>
    </row>
    <row r="599" spans="1:9">
      <c r="A599" t="s">
        <v>702</v>
      </c>
      <c r="B599" t="s">
        <v>299</v>
      </c>
      <c r="C599">
        <v>1</v>
      </c>
      <c r="D599">
        <v>0</v>
      </c>
      <c r="E599" t="s">
        <v>53</v>
      </c>
      <c r="F599">
        <v>1</v>
      </c>
      <c r="G599" t="s">
        <v>86</v>
      </c>
      <c r="H599">
        <f>MAX(IFERROR(VLOOKUP(LOWER(SUBSTITUTE(E599,"*","")),Parameters!$E$2:$F$5,2,FALSE),0),IFERROR(VLOOKUP(LOWER(SUBSTITUTE(G599,"*","")),Parameters!$E$2:$F$5,2,FALSE),0))</f>
        <v>3</v>
      </c>
      <c r="I599" t="s">
        <v>63</v>
      </c>
    </row>
    <row r="600" spans="1:9">
      <c r="A600" t="s">
        <v>703</v>
      </c>
      <c r="B600" t="s">
        <v>52</v>
      </c>
      <c r="C600">
        <v>0</v>
      </c>
      <c r="D600">
        <v>0</v>
      </c>
      <c r="E600" t="s">
        <v>54</v>
      </c>
      <c r="F600">
        <v>1</v>
      </c>
      <c r="G600" t="s">
        <v>86</v>
      </c>
      <c r="H600">
        <f>MAX(IFERROR(VLOOKUP(LOWER(SUBSTITUTE(E600,"*","")),Parameters!$E$2:$F$5,2,FALSE),0),IFERROR(VLOOKUP(LOWER(SUBSTITUTE(G600,"*","")),Parameters!$E$2:$F$5,2,FALSE),0))</f>
        <v>3</v>
      </c>
      <c r="I600" t="s">
        <v>55</v>
      </c>
    </row>
  </sheetData>
  <dataValidations count="2">
    <dataValidation type="list" sqref="E2:E300 G2:G300" xr:uid="{00000000-0002-0000-0100-000000000000}">
      <formula1>",Moderada,Alta"</formula1>
    </dataValidation>
    <dataValidation type="list" sqref="C2:D300 F2:F300" xr:uid="{00000000-0002-0000-0100-000002000000}">
      <formula1>"0,1"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workbookViewId="0"/>
  </sheetViews>
  <sheetFormatPr defaultRowHeight="13.8"/>
  <cols>
    <col min="1" max="3" width="34" customWidth="1"/>
    <col min="5" max="6" width="16" customWidth="1"/>
  </cols>
  <sheetData>
    <row r="1" spans="1:6">
      <c r="A1" s="15" t="s">
        <v>704</v>
      </c>
      <c r="B1" s="15" t="s">
        <v>4</v>
      </c>
      <c r="C1" s="15" t="s">
        <v>705</v>
      </c>
      <c r="D1" s="13"/>
      <c r="E1" s="13" t="s">
        <v>706</v>
      </c>
      <c r="F1" s="13" t="s">
        <v>707</v>
      </c>
    </row>
    <row r="2" spans="1:6">
      <c r="A2" t="s">
        <v>708</v>
      </c>
      <c r="B2">
        <v>0</v>
      </c>
      <c r="C2" t="s">
        <v>709</v>
      </c>
      <c r="E2" t="s">
        <v>710</v>
      </c>
      <c r="F2">
        <v>0</v>
      </c>
    </row>
    <row r="3" spans="1:6">
      <c r="A3" t="s">
        <v>711</v>
      </c>
      <c r="B3">
        <v>0.5</v>
      </c>
      <c r="C3" t="s">
        <v>712</v>
      </c>
      <c r="E3" t="s">
        <v>713</v>
      </c>
      <c r="F3">
        <v>1</v>
      </c>
    </row>
    <row r="4" spans="1:6">
      <c r="A4" t="s">
        <v>714</v>
      </c>
      <c r="B4">
        <v>1</v>
      </c>
      <c r="C4" t="s">
        <v>715</v>
      </c>
      <c r="E4" t="s">
        <v>716</v>
      </c>
      <c r="F4">
        <v>2</v>
      </c>
    </row>
    <row r="5" spans="1:6">
      <c r="A5" t="s">
        <v>717</v>
      </c>
      <c r="B5">
        <v>1</v>
      </c>
      <c r="C5" t="s">
        <v>718</v>
      </c>
      <c r="E5" t="s">
        <v>719</v>
      </c>
      <c r="F5">
        <v>3</v>
      </c>
    </row>
    <row r="6" spans="1:6">
      <c r="A6" t="s">
        <v>720</v>
      </c>
      <c r="B6">
        <v>2</v>
      </c>
      <c r="C6" t="s">
        <v>721</v>
      </c>
    </row>
    <row r="7" spans="1:6">
      <c r="A7" t="s">
        <v>722</v>
      </c>
      <c r="B7">
        <v>3</v>
      </c>
      <c r="C7" t="s">
        <v>723</v>
      </c>
    </row>
    <row r="8" spans="1:6">
      <c r="A8" t="s">
        <v>10</v>
      </c>
      <c r="B8">
        <v>0.5</v>
      </c>
      <c r="C8" t="s">
        <v>724</v>
      </c>
    </row>
    <row r="9" spans="1:6">
      <c r="A9" t="s">
        <v>725</v>
      </c>
      <c r="B9">
        <v>25</v>
      </c>
      <c r="C9" t="s">
        <v>726</v>
      </c>
    </row>
    <row r="11" spans="1:6">
      <c r="A11" s="5" t="s">
        <v>727</v>
      </c>
      <c r="B11" s="5" t="s">
        <v>728</v>
      </c>
      <c r="C11" s="5" t="s">
        <v>729</v>
      </c>
    </row>
    <row r="12" spans="1:6">
      <c r="A12" t="s">
        <v>730</v>
      </c>
      <c r="B12">
        <v>0.5</v>
      </c>
      <c r="C12" t="s">
        <v>731</v>
      </c>
    </row>
    <row r="13" spans="1:6">
      <c r="A13" t="s">
        <v>732</v>
      </c>
      <c r="B13">
        <v>1</v>
      </c>
      <c r="C13" t="s">
        <v>733</v>
      </c>
    </row>
    <row r="14" spans="1:6">
      <c r="A14" t="s">
        <v>734</v>
      </c>
      <c r="B14">
        <v>0</v>
      </c>
      <c r="C14" t="s">
        <v>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51"/>
  <sheetViews>
    <sheetView workbookViewId="0"/>
  </sheetViews>
  <sheetFormatPr defaultRowHeight="13.8"/>
  <cols>
    <col min="1" max="2" width="32" customWidth="1"/>
  </cols>
  <sheetData>
    <row r="1" spans="1:2">
      <c r="A1" s="2" t="s">
        <v>736</v>
      </c>
      <c r="B1" s="2" t="s">
        <v>40</v>
      </c>
    </row>
    <row r="2" spans="1:2">
      <c r="A2" t="s">
        <v>51</v>
      </c>
      <c r="B2" t="s">
        <v>51</v>
      </c>
    </row>
    <row r="3" spans="1:2">
      <c r="A3" t="s">
        <v>58</v>
      </c>
      <c r="B3" t="s">
        <v>58</v>
      </c>
    </row>
    <row r="4" spans="1:2">
      <c r="A4" t="s">
        <v>61</v>
      </c>
      <c r="B4" t="s">
        <v>61</v>
      </c>
    </row>
    <row r="5" spans="1:2">
      <c r="A5" t="s">
        <v>65</v>
      </c>
      <c r="B5" t="s">
        <v>65</v>
      </c>
    </row>
    <row r="6" spans="1:2">
      <c r="A6" t="s">
        <v>68</v>
      </c>
      <c r="B6" t="s">
        <v>109</v>
      </c>
    </row>
    <row r="7" spans="1:2">
      <c r="A7" t="s">
        <v>72</v>
      </c>
      <c r="B7" t="s">
        <v>109</v>
      </c>
    </row>
    <row r="8" spans="1:2">
      <c r="A8" t="s">
        <v>73</v>
      </c>
      <c r="B8" t="s">
        <v>73</v>
      </c>
    </row>
    <row r="9" spans="1:2">
      <c r="A9" t="s">
        <v>74</v>
      </c>
      <c r="B9" t="s">
        <v>74</v>
      </c>
    </row>
    <row r="10" spans="1:2">
      <c r="A10" t="s">
        <v>75</v>
      </c>
      <c r="B10" t="s">
        <v>75</v>
      </c>
    </row>
    <row r="11" spans="1:2">
      <c r="A11" t="s">
        <v>76</v>
      </c>
      <c r="B11" t="s">
        <v>76</v>
      </c>
    </row>
    <row r="12" spans="1:2">
      <c r="A12" t="s">
        <v>77</v>
      </c>
      <c r="B12" t="s">
        <v>597</v>
      </c>
    </row>
    <row r="13" spans="1:2">
      <c r="A13" t="s">
        <v>78</v>
      </c>
      <c r="B13" t="s">
        <v>78</v>
      </c>
    </row>
    <row r="14" spans="1:2">
      <c r="A14" t="s">
        <v>79</v>
      </c>
      <c r="B14" t="s">
        <v>79</v>
      </c>
    </row>
    <row r="15" spans="1:2">
      <c r="A15" t="s">
        <v>737</v>
      </c>
      <c r="B15" t="s">
        <v>80</v>
      </c>
    </row>
    <row r="16" spans="1:2">
      <c r="A16" t="s">
        <v>80</v>
      </c>
      <c r="B16" t="s">
        <v>80</v>
      </c>
    </row>
    <row r="17" spans="1:2">
      <c r="A17" t="s">
        <v>81</v>
      </c>
      <c r="B17" t="s">
        <v>81</v>
      </c>
    </row>
    <row r="18" spans="1:2">
      <c r="A18" t="s">
        <v>82</v>
      </c>
      <c r="B18" t="s">
        <v>82</v>
      </c>
    </row>
    <row r="19" spans="1:2">
      <c r="A19" t="s">
        <v>84</v>
      </c>
      <c r="B19" t="s">
        <v>84</v>
      </c>
    </row>
    <row r="20" spans="1:2">
      <c r="A20" t="s">
        <v>87</v>
      </c>
      <c r="B20" t="s">
        <v>87</v>
      </c>
    </row>
    <row r="21" spans="1:2">
      <c r="A21" t="s">
        <v>88</v>
      </c>
      <c r="B21" t="s">
        <v>88</v>
      </c>
    </row>
    <row r="22" spans="1:2">
      <c r="A22" t="s">
        <v>89</v>
      </c>
      <c r="B22" t="s">
        <v>89</v>
      </c>
    </row>
    <row r="23" spans="1:2">
      <c r="A23" t="s">
        <v>90</v>
      </c>
      <c r="B23" t="s">
        <v>90</v>
      </c>
    </row>
    <row r="24" spans="1:2">
      <c r="A24" t="s">
        <v>738</v>
      </c>
      <c r="B24" t="s">
        <v>91</v>
      </c>
    </row>
    <row r="25" spans="1:2">
      <c r="A25" t="s">
        <v>739</v>
      </c>
      <c r="B25" t="s">
        <v>91</v>
      </c>
    </row>
    <row r="26" spans="1:2">
      <c r="A26" t="s">
        <v>740</v>
      </c>
      <c r="B26" t="s">
        <v>91</v>
      </c>
    </row>
    <row r="27" spans="1:2">
      <c r="A27" t="s">
        <v>91</v>
      </c>
      <c r="B27" t="s">
        <v>91</v>
      </c>
    </row>
    <row r="28" spans="1:2">
      <c r="A28" t="s">
        <v>741</v>
      </c>
      <c r="B28" t="s">
        <v>91</v>
      </c>
    </row>
    <row r="29" spans="1:2">
      <c r="A29" t="s">
        <v>742</v>
      </c>
      <c r="B29" t="s">
        <v>91</v>
      </c>
    </row>
    <row r="30" spans="1:2">
      <c r="A30" t="s">
        <v>93</v>
      </c>
      <c r="B30" t="s">
        <v>93</v>
      </c>
    </row>
    <row r="31" spans="1:2">
      <c r="A31" t="s">
        <v>95</v>
      </c>
      <c r="B31" t="s">
        <v>95</v>
      </c>
    </row>
    <row r="32" spans="1:2">
      <c r="A32" t="s">
        <v>96</v>
      </c>
      <c r="B32" t="s">
        <v>96</v>
      </c>
    </row>
    <row r="33" spans="1:2">
      <c r="A33" t="s">
        <v>97</v>
      </c>
      <c r="B33" t="s">
        <v>97</v>
      </c>
    </row>
    <row r="34" spans="1:2">
      <c r="A34" t="s">
        <v>98</v>
      </c>
      <c r="B34" t="s">
        <v>98</v>
      </c>
    </row>
    <row r="35" spans="1:2">
      <c r="A35" t="s">
        <v>99</v>
      </c>
      <c r="B35" t="s">
        <v>99</v>
      </c>
    </row>
    <row r="36" spans="1:2">
      <c r="A36" t="s">
        <v>100</v>
      </c>
      <c r="B36" t="s">
        <v>100</v>
      </c>
    </row>
    <row r="37" spans="1:2">
      <c r="A37" t="s">
        <v>101</v>
      </c>
      <c r="B37" t="s">
        <v>101</v>
      </c>
    </row>
    <row r="38" spans="1:2">
      <c r="A38" t="s">
        <v>102</v>
      </c>
      <c r="B38" t="s">
        <v>102</v>
      </c>
    </row>
    <row r="39" spans="1:2">
      <c r="A39" t="s">
        <v>104</v>
      </c>
      <c r="B39" t="s">
        <v>104</v>
      </c>
    </row>
    <row r="40" spans="1:2">
      <c r="A40" t="s">
        <v>105</v>
      </c>
      <c r="B40" t="s">
        <v>105</v>
      </c>
    </row>
    <row r="41" spans="1:2">
      <c r="A41" t="s">
        <v>107</v>
      </c>
      <c r="B41" t="s">
        <v>107</v>
      </c>
    </row>
    <row r="42" spans="1:2">
      <c r="A42" t="s">
        <v>743</v>
      </c>
      <c r="B42" t="s">
        <v>109</v>
      </c>
    </row>
    <row r="43" spans="1:2">
      <c r="A43" t="s">
        <v>108</v>
      </c>
      <c r="B43" t="s">
        <v>108</v>
      </c>
    </row>
    <row r="44" spans="1:2">
      <c r="A44" t="s">
        <v>109</v>
      </c>
      <c r="B44" t="s">
        <v>109</v>
      </c>
    </row>
    <row r="45" spans="1:2">
      <c r="A45" t="s">
        <v>110</v>
      </c>
      <c r="B45" t="s">
        <v>110</v>
      </c>
    </row>
    <row r="46" spans="1:2">
      <c r="A46" t="s">
        <v>111</v>
      </c>
      <c r="B46" t="s">
        <v>111</v>
      </c>
    </row>
    <row r="47" spans="1:2">
      <c r="A47" t="s">
        <v>744</v>
      </c>
      <c r="B47" t="s">
        <v>111</v>
      </c>
    </row>
    <row r="48" spans="1:2">
      <c r="A48" t="s">
        <v>112</v>
      </c>
      <c r="B48" t="s">
        <v>112</v>
      </c>
    </row>
    <row r="49" spans="1:2">
      <c r="A49" t="s">
        <v>113</v>
      </c>
      <c r="B49" t="s">
        <v>113</v>
      </c>
    </row>
    <row r="50" spans="1:2">
      <c r="A50" t="s">
        <v>115</v>
      </c>
      <c r="B50" t="s">
        <v>115</v>
      </c>
    </row>
    <row r="51" spans="1:2">
      <c r="A51" t="s">
        <v>116</v>
      </c>
      <c r="B51" t="s">
        <v>116</v>
      </c>
    </row>
    <row r="52" spans="1:2">
      <c r="A52" t="s">
        <v>117</v>
      </c>
      <c r="B52" t="s">
        <v>117</v>
      </c>
    </row>
    <row r="53" spans="1:2">
      <c r="A53" t="s">
        <v>118</v>
      </c>
      <c r="B53" t="s">
        <v>118</v>
      </c>
    </row>
    <row r="54" spans="1:2">
      <c r="A54" t="s">
        <v>119</v>
      </c>
      <c r="B54" t="s">
        <v>119</v>
      </c>
    </row>
    <row r="55" spans="1:2">
      <c r="A55" t="s">
        <v>120</v>
      </c>
      <c r="B55" t="s">
        <v>120</v>
      </c>
    </row>
    <row r="56" spans="1:2">
      <c r="A56" t="s">
        <v>122</v>
      </c>
      <c r="B56" t="s">
        <v>122</v>
      </c>
    </row>
    <row r="57" spans="1:2">
      <c r="A57" t="s">
        <v>123</v>
      </c>
      <c r="B57" t="s">
        <v>123</v>
      </c>
    </row>
    <row r="58" spans="1:2">
      <c r="A58" t="s">
        <v>124</v>
      </c>
      <c r="B58" t="s">
        <v>124</v>
      </c>
    </row>
    <row r="59" spans="1:2">
      <c r="A59" t="s">
        <v>126</v>
      </c>
      <c r="B59" t="s">
        <v>126</v>
      </c>
    </row>
    <row r="60" spans="1:2">
      <c r="A60" t="s">
        <v>745</v>
      </c>
      <c r="B60" t="s">
        <v>127</v>
      </c>
    </row>
    <row r="61" spans="1:2">
      <c r="A61" t="s">
        <v>127</v>
      </c>
      <c r="B61" t="s">
        <v>127</v>
      </c>
    </row>
    <row r="62" spans="1:2">
      <c r="A62" t="s">
        <v>128</v>
      </c>
      <c r="B62" t="s">
        <v>128</v>
      </c>
    </row>
    <row r="63" spans="1:2">
      <c r="A63" t="s">
        <v>129</v>
      </c>
      <c r="B63" t="s">
        <v>129</v>
      </c>
    </row>
    <row r="64" spans="1:2">
      <c r="A64" t="s">
        <v>130</v>
      </c>
      <c r="B64" t="s">
        <v>130</v>
      </c>
    </row>
    <row r="65" spans="1:2">
      <c r="A65" t="s">
        <v>131</v>
      </c>
      <c r="B65" t="s">
        <v>131</v>
      </c>
    </row>
    <row r="66" spans="1:2">
      <c r="A66" t="s">
        <v>132</v>
      </c>
      <c r="B66" t="s">
        <v>132</v>
      </c>
    </row>
    <row r="67" spans="1:2">
      <c r="A67" t="s">
        <v>133</v>
      </c>
      <c r="B67" t="s">
        <v>133</v>
      </c>
    </row>
    <row r="68" spans="1:2">
      <c r="A68" t="s">
        <v>134</v>
      </c>
      <c r="B68" t="s">
        <v>134</v>
      </c>
    </row>
    <row r="69" spans="1:2">
      <c r="A69" t="s">
        <v>135</v>
      </c>
      <c r="B69" t="s">
        <v>135</v>
      </c>
    </row>
    <row r="70" spans="1:2">
      <c r="A70" t="s">
        <v>136</v>
      </c>
      <c r="B70" t="s">
        <v>136</v>
      </c>
    </row>
    <row r="71" spans="1:2">
      <c r="A71" t="s">
        <v>137</v>
      </c>
      <c r="B71" t="s">
        <v>137</v>
      </c>
    </row>
    <row r="72" spans="1:2">
      <c r="A72" t="s">
        <v>138</v>
      </c>
      <c r="B72" t="s">
        <v>138</v>
      </c>
    </row>
    <row r="73" spans="1:2">
      <c r="A73" t="s">
        <v>139</v>
      </c>
      <c r="B73" t="s">
        <v>139</v>
      </c>
    </row>
    <row r="74" spans="1:2">
      <c r="A74" t="s">
        <v>140</v>
      </c>
      <c r="B74" t="s">
        <v>140</v>
      </c>
    </row>
    <row r="75" spans="1:2">
      <c r="A75" t="s">
        <v>141</v>
      </c>
      <c r="B75" t="s">
        <v>141</v>
      </c>
    </row>
    <row r="76" spans="1:2">
      <c r="A76" t="s">
        <v>142</v>
      </c>
      <c r="B76" t="s">
        <v>142</v>
      </c>
    </row>
    <row r="77" spans="1:2">
      <c r="A77" t="s">
        <v>143</v>
      </c>
      <c r="B77" t="s">
        <v>143</v>
      </c>
    </row>
    <row r="78" spans="1:2">
      <c r="A78" t="s">
        <v>144</v>
      </c>
      <c r="B78" t="s">
        <v>144</v>
      </c>
    </row>
    <row r="79" spans="1:2">
      <c r="A79" t="s">
        <v>145</v>
      </c>
      <c r="B79" t="s">
        <v>145</v>
      </c>
    </row>
    <row r="80" spans="1:2">
      <c r="A80" t="s">
        <v>147</v>
      </c>
      <c r="B80" t="s">
        <v>147</v>
      </c>
    </row>
    <row r="81" spans="1:2">
      <c r="A81" t="s">
        <v>148</v>
      </c>
      <c r="B81" t="s">
        <v>148</v>
      </c>
    </row>
    <row r="82" spans="1:2">
      <c r="A82" t="s">
        <v>149</v>
      </c>
      <c r="B82" t="s">
        <v>149</v>
      </c>
    </row>
    <row r="83" spans="1:2">
      <c r="A83" t="s">
        <v>151</v>
      </c>
      <c r="B83" t="s">
        <v>151</v>
      </c>
    </row>
    <row r="84" spans="1:2">
      <c r="A84" t="s">
        <v>152</v>
      </c>
      <c r="B84" t="s">
        <v>152</v>
      </c>
    </row>
    <row r="85" spans="1:2">
      <c r="A85" t="s">
        <v>153</v>
      </c>
      <c r="B85" t="s">
        <v>153</v>
      </c>
    </row>
    <row r="86" spans="1:2">
      <c r="A86" t="s">
        <v>155</v>
      </c>
      <c r="B86" t="s">
        <v>155</v>
      </c>
    </row>
    <row r="87" spans="1:2">
      <c r="A87" t="s">
        <v>156</v>
      </c>
      <c r="B87" t="s">
        <v>156</v>
      </c>
    </row>
    <row r="88" spans="1:2">
      <c r="A88" t="s">
        <v>157</v>
      </c>
      <c r="B88" t="s">
        <v>157</v>
      </c>
    </row>
    <row r="89" spans="1:2">
      <c r="A89" t="s">
        <v>158</v>
      </c>
      <c r="B89" t="s">
        <v>158</v>
      </c>
    </row>
    <row r="90" spans="1:2">
      <c r="A90" t="s">
        <v>159</v>
      </c>
      <c r="B90" t="s">
        <v>159</v>
      </c>
    </row>
    <row r="91" spans="1:2">
      <c r="A91" t="s">
        <v>160</v>
      </c>
      <c r="B91" t="s">
        <v>160</v>
      </c>
    </row>
    <row r="92" spans="1:2">
      <c r="A92" t="s">
        <v>746</v>
      </c>
      <c r="B92" t="s">
        <v>161</v>
      </c>
    </row>
    <row r="93" spans="1:2">
      <c r="A93" t="s">
        <v>161</v>
      </c>
      <c r="B93" t="s">
        <v>161</v>
      </c>
    </row>
    <row r="94" spans="1:2">
      <c r="A94" t="s">
        <v>162</v>
      </c>
      <c r="B94" t="s">
        <v>162</v>
      </c>
    </row>
    <row r="95" spans="1:2">
      <c r="A95" t="s">
        <v>163</v>
      </c>
      <c r="B95" t="s">
        <v>163</v>
      </c>
    </row>
    <row r="96" spans="1:2">
      <c r="A96" t="s">
        <v>164</v>
      </c>
      <c r="B96" t="s">
        <v>164</v>
      </c>
    </row>
    <row r="97" spans="1:2">
      <c r="A97" t="s">
        <v>166</v>
      </c>
      <c r="B97" t="s">
        <v>166</v>
      </c>
    </row>
    <row r="98" spans="1:2">
      <c r="A98" t="s">
        <v>167</v>
      </c>
      <c r="B98" t="s">
        <v>167</v>
      </c>
    </row>
    <row r="99" spans="1:2">
      <c r="A99" t="s">
        <v>168</v>
      </c>
      <c r="B99" t="s">
        <v>168</v>
      </c>
    </row>
    <row r="100" spans="1:2">
      <c r="A100" t="s">
        <v>169</v>
      </c>
      <c r="B100" t="s">
        <v>169</v>
      </c>
    </row>
    <row r="101" spans="1:2">
      <c r="A101" t="s">
        <v>171</v>
      </c>
      <c r="B101" t="s">
        <v>171</v>
      </c>
    </row>
    <row r="102" spans="1:2">
      <c r="A102" t="s">
        <v>172</v>
      </c>
      <c r="B102" t="s">
        <v>172</v>
      </c>
    </row>
    <row r="103" spans="1:2">
      <c r="A103" t="s">
        <v>173</v>
      </c>
      <c r="B103" t="s">
        <v>173</v>
      </c>
    </row>
    <row r="104" spans="1:2">
      <c r="A104" t="s">
        <v>174</v>
      </c>
      <c r="B104" t="s">
        <v>174</v>
      </c>
    </row>
    <row r="105" spans="1:2">
      <c r="A105" t="s">
        <v>175</v>
      </c>
      <c r="B105" t="s">
        <v>175</v>
      </c>
    </row>
    <row r="106" spans="1:2">
      <c r="A106" t="s">
        <v>176</v>
      </c>
      <c r="B106" t="s">
        <v>176</v>
      </c>
    </row>
    <row r="107" spans="1:2">
      <c r="A107" t="s">
        <v>177</v>
      </c>
      <c r="B107" t="s">
        <v>177</v>
      </c>
    </row>
    <row r="108" spans="1:2">
      <c r="A108" t="s">
        <v>178</v>
      </c>
      <c r="B108" t="s">
        <v>178</v>
      </c>
    </row>
    <row r="109" spans="1:2">
      <c r="A109" t="s">
        <v>179</v>
      </c>
      <c r="B109" t="s">
        <v>179</v>
      </c>
    </row>
    <row r="110" spans="1:2">
      <c r="A110" t="s">
        <v>180</v>
      </c>
      <c r="B110" t="s">
        <v>180</v>
      </c>
    </row>
    <row r="111" spans="1:2">
      <c r="A111" t="s">
        <v>181</v>
      </c>
      <c r="B111" t="s">
        <v>181</v>
      </c>
    </row>
    <row r="112" spans="1:2">
      <c r="A112" t="s">
        <v>182</v>
      </c>
      <c r="B112" t="s">
        <v>182</v>
      </c>
    </row>
    <row r="113" spans="1:2">
      <c r="A113" t="s">
        <v>183</v>
      </c>
      <c r="B113" t="s">
        <v>183</v>
      </c>
    </row>
    <row r="114" spans="1:2">
      <c r="A114" t="s">
        <v>184</v>
      </c>
      <c r="B114" t="s">
        <v>184</v>
      </c>
    </row>
    <row r="115" spans="1:2">
      <c r="A115" t="s">
        <v>186</v>
      </c>
      <c r="B115" t="s">
        <v>186</v>
      </c>
    </row>
    <row r="116" spans="1:2">
      <c r="A116" t="s">
        <v>187</v>
      </c>
      <c r="B116" t="s">
        <v>187</v>
      </c>
    </row>
    <row r="117" spans="1:2">
      <c r="A117" t="s">
        <v>188</v>
      </c>
      <c r="B117" t="s">
        <v>188</v>
      </c>
    </row>
    <row r="118" spans="1:2">
      <c r="A118" t="s">
        <v>189</v>
      </c>
      <c r="B118" t="s">
        <v>189</v>
      </c>
    </row>
    <row r="119" spans="1:2">
      <c r="A119" t="s">
        <v>190</v>
      </c>
      <c r="B119" t="s">
        <v>190</v>
      </c>
    </row>
    <row r="120" spans="1:2">
      <c r="A120" t="s">
        <v>191</v>
      </c>
      <c r="B120" t="s">
        <v>191</v>
      </c>
    </row>
    <row r="121" spans="1:2">
      <c r="A121" t="s">
        <v>192</v>
      </c>
      <c r="B121" t="s">
        <v>192</v>
      </c>
    </row>
    <row r="122" spans="1:2">
      <c r="A122" t="s">
        <v>193</v>
      </c>
      <c r="B122" t="s">
        <v>193</v>
      </c>
    </row>
    <row r="123" spans="1:2">
      <c r="A123" t="s">
        <v>194</v>
      </c>
      <c r="B123" t="s">
        <v>194</v>
      </c>
    </row>
    <row r="124" spans="1:2">
      <c r="A124" t="s">
        <v>747</v>
      </c>
      <c r="B124" t="s">
        <v>195</v>
      </c>
    </row>
    <row r="125" spans="1:2">
      <c r="A125" t="s">
        <v>748</v>
      </c>
      <c r="B125" t="s">
        <v>195</v>
      </c>
    </row>
    <row r="126" spans="1:2">
      <c r="A126" t="s">
        <v>195</v>
      </c>
      <c r="B126" t="s">
        <v>195</v>
      </c>
    </row>
    <row r="127" spans="1:2">
      <c r="A127" t="s">
        <v>196</v>
      </c>
      <c r="B127" t="s">
        <v>196</v>
      </c>
    </row>
    <row r="128" spans="1:2">
      <c r="A128" t="s">
        <v>197</v>
      </c>
      <c r="B128" t="s">
        <v>197</v>
      </c>
    </row>
    <row r="129" spans="1:2">
      <c r="A129" t="s">
        <v>749</v>
      </c>
      <c r="B129" t="s">
        <v>161</v>
      </c>
    </row>
    <row r="130" spans="1:2">
      <c r="A130" t="s">
        <v>198</v>
      </c>
      <c r="B130" t="s">
        <v>198</v>
      </c>
    </row>
    <row r="131" spans="1:2">
      <c r="A131" t="s">
        <v>199</v>
      </c>
      <c r="B131" t="s">
        <v>199</v>
      </c>
    </row>
    <row r="132" spans="1:2">
      <c r="A132" t="s">
        <v>200</v>
      </c>
      <c r="B132" t="s">
        <v>200</v>
      </c>
    </row>
    <row r="133" spans="1:2">
      <c r="A133" t="s">
        <v>202</v>
      </c>
      <c r="B133" t="s">
        <v>202</v>
      </c>
    </row>
    <row r="134" spans="1:2">
      <c r="A134" t="s">
        <v>203</v>
      </c>
      <c r="B134" t="s">
        <v>203</v>
      </c>
    </row>
    <row r="135" spans="1:2">
      <c r="A135" t="s">
        <v>204</v>
      </c>
      <c r="B135" t="s">
        <v>204</v>
      </c>
    </row>
    <row r="136" spans="1:2">
      <c r="A136" t="s">
        <v>206</v>
      </c>
      <c r="B136" t="s">
        <v>206</v>
      </c>
    </row>
    <row r="137" spans="1:2">
      <c r="A137" t="s">
        <v>207</v>
      </c>
      <c r="B137" t="s">
        <v>207</v>
      </c>
    </row>
    <row r="138" spans="1:2">
      <c r="A138" t="s">
        <v>208</v>
      </c>
      <c r="B138" t="s">
        <v>208</v>
      </c>
    </row>
    <row r="139" spans="1:2">
      <c r="A139" t="s">
        <v>209</v>
      </c>
      <c r="B139" t="s">
        <v>209</v>
      </c>
    </row>
    <row r="140" spans="1:2">
      <c r="A140" t="s">
        <v>210</v>
      </c>
      <c r="B140" t="s">
        <v>210</v>
      </c>
    </row>
    <row r="141" spans="1:2">
      <c r="A141" t="s">
        <v>211</v>
      </c>
      <c r="B141" t="s">
        <v>211</v>
      </c>
    </row>
    <row r="142" spans="1:2">
      <c r="A142" t="s">
        <v>212</v>
      </c>
      <c r="B142" t="s">
        <v>212</v>
      </c>
    </row>
    <row r="143" spans="1:2">
      <c r="A143" t="s">
        <v>213</v>
      </c>
      <c r="B143" t="s">
        <v>213</v>
      </c>
    </row>
    <row r="144" spans="1:2">
      <c r="A144" t="s">
        <v>214</v>
      </c>
      <c r="B144" t="s">
        <v>214</v>
      </c>
    </row>
    <row r="145" spans="1:2">
      <c r="A145" t="s">
        <v>215</v>
      </c>
      <c r="B145" t="s">
        <v>215</v>
      </c>
    </row>
    <row r="146" spans="1:2">
      <c r="A146" t="s">
        <v>216</v>
      </c>
      <c r="B146" t="s">
        <v>216</v>
      </c>
    </row>
    <row r="147" spans="1:2">
      <c r="A147" t="s">
        <v>217</v>
      </c>
      <c r="B147" t="s">
        <v>217</v>
      </c>
    </row>
    <row r="148" spans="1:2">
      <c r="A148" t="s">
        <v>218</v>
      </c>
      <c r="B148" t="s">
        <v>218</v>
      </c>
    </row>
    <row r="149" spans="1:2">
      <c r="A149" t="s">
        <v>219</v>
      </c>
      <c r="B149" t="s">
        <v>219</v>
      </c>
    </row>
    <row r="150" spans="1:2">
      <c r="A150" t="s">
        <v>220</v>
      </c>
      <c r="B150" t="s">
        <v>220</v>
      </c>
    </row>
    <row r="151" spans="1:2">
      <c r="A151" t="s">
        <v>221</v>
      </c>
      <c r="B151" t="s">
        <v>221</v>
      </c>
    </row>
    <row r="152" spans="1:2">
      <c r="A152" t="s">
        <v>222</v>
      </c>
      <c r="B152" t="s">
        <v>222</v>
      </c>
    </row>
    <row r="153" spans="1:2">
      <c r="A153" t="s">
        <v>223</v>
      </c>
      <c r="B153" t="s">
        <v>223</v>
      </c>
    </row>
    <row r="154" spans="1:2">
      <c r="A154" t="s">
        <v>224</v>
      </c>
      <c r="B154" t="s">
        <v>224</v>
      </c>
    </row>
    <row r="155" spans="1:2">
      <c r="A155" t="s">
        <v>225</v>
      </c>
      <c r="B155" t="s">
        <v>225</v>
      </c>
    </row>
    <row r="156" spans="1:2">
      <c r="A156" t="s">
        <v>226</v>
      </c>
      <c r="B156" t="s">
        <v>226</v>
      </c>
    </row>
    <row r="157" spans="1:2">
      <c r="A157" t="s">
        <v>227</v>
      </c>
      <c r="B157" t="s">
        <v>227</v>
      </c>
    </row>
    <row r="158" spans="1:2">
      <c r="A158" t="s">
        <v>228</v>
      </c>
      <c r="B158" t="s">
        <v>228</v>
      </c>
    </row>
    <row r="159" spans="1:2">
      <c r="A159" t="s">
        <v>229</v>
      </c>
      <c r="B159" t="s">
        <v>229</v>
      </c>
    </row>
    <row r="160" spans="1:2">
      <c r="A160" t="s">
        <v>230</v>
      </c>
      <c r="B160" t="s">
        <v>230</v>
      </c>
    </row>
    <row r="161" spans="1:2">
      <c r="A161" t="s">
        <v>231</v>
      </c>
      <c r="B161" t="s">
        <v>231</v>
      </c>
    </row>
    <row r="162" spans="1:2">
      <c r="A162" t="s">
        <v>233</v>
      </c>
      <c r="B162" t="s">
        <v>233</v>
      </c>
    </row>
    <row r="163" spans="1:2">
      <c r="A163" t="s">
        <v>234</v>
      </c>
      <c r="B163" t="s">
        <v>234</v>
      </c>
    </row>
    <row r="164" spans="1:2">
      <c r="A164" t="s">
        <v>235</v>
      </c>
      <c r="B164" t="s">
        <v>235</v>
      </c>
    </row>
    <row r="165" spans="1:2">
      <c r="A165" t="s">
        <v>236</v>
      </c>
      <c r="B165" t="s">
        <v>236</v>
      </c>
    </row>
    <row r="166" spans="1:2">
      <c r="A166" t="s">
        <v>237</v>
      </c>
      <c r="B166" t="s">
        <v>237</v>
      </c>
    </row>
    <row r="167" spans="1:2">
      <c r="A167" t="s">
        <v>238</v>
      </c>
      <c r="B167" t="s">
        <v>238</v>
      </c>
    </row>
    <row r="168" spans="1:2">
      <c r="A168" t="s">
        <v>239</v>
      </c>
      <c r="B168" t="s">
        <v>239</v>
      </c>
    </row>
    <row r="169" spans="1:2">
      <c r="A169" t="s">
        <v>240</v>
      </c>
      <c r="B169" t="s">
        <v>240</v>
      </c>
    </row>
    <row r="170" spans="1:2">
      <c r="A170" t="s">
        <v>241</v>
      </c>
      <c r="B170" t="s">
        <v>241</v>
      </c>
    </row>
    <row r="171" spans="1:2">
      <c r="A171" t="s">
        <v>243</v>
      </c>
      <c r="B171" t="s">
        <v>243</v>
      </c>
    </row>
    <row r="172" spans="1:2">
      <c r="A172" t="s">
        <v>244</v>
      </c>
      <c r="B172" t="s">
        <v>244</v>
      </c>
    </row>
    <row r="173" spans="1:2">
      <c r="A173" t="s">
        <v>245</v>
      </c>
      <c r="B173" t="s">
        <v>245</v>
      </c>
    </row>
    <row r="174" spans="1:2">
      <c r="A174" t="s">
        <v>246</v>
      </c>
      <c r="B174" t="s">
        <v>246</v>
      </c>
    </row>
    <row r="175" spans="1:2">
      <c r="A175" t="s">
        <v>247</v>
      </c>
      <c r="B175" t="s">
        <v>247</v>
      </c>
    </row>
    <row r="176" spans="1:2">
      <c r="A176" t="s">
        <v>248</v>
      </c>
      <c r="B176" t="s">
        <v>248</v>
      </c>
    </row>
    <row r="177" spans="1:2">
      <c r="A177" t="s">
        <v>250</v>
      </c>
      <c r="B177" t="s">
        <v>250</v>
      </c>
    </row>
    <row r="178" spans="1:2">
      <c r="A178" t="s">
        <v>251</v>
      </c>
      <c r="B178" t="s">
        <v>251</v>
      </c>
    </row>
    <row r="179" spans="1:2">
      <c r="A179" t="s">
        <v>252</v>
      </c>
      <c r="B179" t="s">
        <v>252</v>
      </c>
    </row>
    <row r="180" spans="1:2">
      <c r="A180" t="s">
        <v>253</v>
      </c>
      <c r="B180" t="s">
        <v>253</v>
      </c>
    </row>
    <row r="181" spans="1:2">
      <c r="A181" t="s">
        <v>254</v>
      </c>
      <c r="B181" t="s">
        <v>254</v>
      </c>
    </row>
    <row r="182" spans="1:2">
      <c r="A182" t="s">
        <v>255</v>
      </c>
      <c r="B182" t="s">
        <v>255</v>
      </c>
    </row>
    <row r="183" spans="1:2">
      <c r="A183" t="s">
        <v>256</v>
      </c>
      <c r="B183" t="s">
        <v>256</v>
      </c>
    </row>
    <row r="184" spans="1:2">
      <c r="A184" t="s">
        <v>750</v>
      </c>
      <c r="B184" t="s">
        <v>256</v>
      </c>
    </row>
    <row r="185" spans="1:2">
      <c r="A185" t="s">
        <v>257</v>
      </c>
      <c r="B185" t="s">
        <v>257</v>
      </c>
    </row>
    <row r="186" spans="1:2">
      <c r="A186" t="s">
        <v>258</v>
      </c>
      <c r="B186" t="s">
        <v>258</v>
      </c>
    </row>
    <row r="187" spans="1:2">
      <c r="A187" t="s">
        <v>259</v>
      </c>
      <c r="B187" t="s">
        <v>259</v>
      </c>
    </row>
    <row r="188" spans="1:2">
      <c r="A188" t="s">
        <v>260</v>
      </c>
      <c r="B188" t="s">
        <v>260</v>
      </c>
    </row>
    <row r="189" spans="1:2">
      <c r="A189" t="s">
        <v>261</v>
      </c>
      <c r="B189" t="s">
        <v>261</v>
      </c>
    </row>
    <row r="190" spans="1:2">
      <c r="A190" t="s">
        <v>262</v>
      </c>
      <c r="B190" t="s">
        <v>262</v>
      </c>
    </row>
    <row r="191" spans="1:2">
      <c r="A191" t="s">
        <v>263</v>
      </c>
      <c r="B191" t="s">
        <v>263</v>
      </c>
    </row>
    <row r="192" spans="1:2">
      <c r="A192" t="s">
        <v>264</v>
      </c>
      <c r="B192" t="s">
        <v>264</v>
      </c>
    </row>
    <row r="193" spans="1:2">
      <c r="A193" t="s">
        <v>265</v>
      </c>
      <c r="B193" t="s">
        <v>265</v>
      </c>
    </row>
    <row r="194" spans="1:2">
      <c r="A194" t="s">
        <v>266</v>
      </c>
      <c r="B194" t="s">
        <v>266</v>
      </c>
    </row>
    <row r="195" spans="1:2">
      <c r="A195" t="s">
        <v>267</v>
      </c>
      <c r="B195" t="s">
        <v>267</v>
      </c>
    </row>
    <row r="196" spans="1:2">
      <c r="A196" t="s">
        <v>269</v>
      </c>
      <c r="B196" t="s">
        <v>269</v>
      </c>
    </row>
    <row r="197" spans="1:2">
      <c r="A197" t="s">
        <v>270</v>
      </c>
      <c r="B197" t="s">
        <v>270</v>
      </c>
    </row>
    <row r="198" spans="1:2">
      <c r="A198" t="s">
        <v>271</v>
      </c>
      <c r="B198" t="s">
        <v>271</v>
      </c>
    </row>
    <row r="199" spans="1:2">
      <c r="A199" t="s">
        <v>272</v>
      </c>
      <c r="B199" t="s">
        <v>272</v>
      </c>
    </row>
    <row r="200" spans="1:2">
      <c r="A200" t="s">
        <v>273</v>
      </c>
      <c r="B200" t="s">
        <v>273</v>
      </c>
    </row>
    <row r="201" spans="1:2">
      <c r="A201" t="s">
        <v>274</v>
      </c>
      <c r="B201" t="s">
        <v>274</v>
      </c>
    </row>
    <row r="202" spans="1:2">
      <c r="A202" t="s">
        <v>275</v>
      </c>
      <c r="B202" t="s">
        <v>275</v>
      </c>
    </row>
    <row r="203" spans="1:2">
      <c r="A203" t="s">
        <v>276</v>
      </c>
      <c r="B203" t="s">
        <v>276</v>
      </c>
    </row>
    <row r="204" spans="1:2">
      <c r="A204" t="s">
        <v>277</v>
      </c>
      <c r="B204" t="s">
        <v>277</v>
      </c>
    </row>
    <row r="205" spans="1:2">
      <c r="A205" t="s">
        <v>278</v>
      </c>
      <c r="B205" t="s">
        <v>278</v>
      </c>
    </row>
    <row r="206" spans="1:2">
      <c r="A206" t="s">
        <v>279</v>
      </c>
      <c r="B206" t="s">
        <v>279</v>
      </c>
    </row>
    <row r="207" spans="1:2">
      <c r="A207" t="s">
        <v>280</v>
      </c>
      <c r="B207" t="s">
        <v>280</v>
      </c>
    </row>
    <row r="208" spans="1:2">
      <c r="A208" t="s">
        <v>281</v>
      </c>
      <c r="B208" t="s">
        <v>281</v>
      </c>
    </row>
    <row r="209" spans="1:2">
      <c r="A209" t="s">
        <v>282</v>
      </c>
      <c r="B209" t="s">
        <v>282</v>
      </c>
    </row>
    <row r="210" spans="1:2">
      <c r="A210" t="s">
        <v>283</v>
      </c>
      <c r="B210" t="s">
        <v>283</v>
      </c>
    </row>
    <row r="211" spans="1:2">
      <c r="A211" t="s">
        <v>284</v>
      </c>
      <c r="B211" t="s">
        <v>284</v>
      </c>
    </row>
    <row r="212" spans="1:2">
      <c r="A212" t="s">
        <v>285</v>
      </c>
      <c r="B212" t="s">
        <v>285</v>
      </c>
    </row>
    <row r="213" spans="1:2">
      <c r="A213" t="s">
        <v>286</v>
      </c>
      <c r="B213" t="s">
        <v>286</v>
      </c>
    </row>
    <row r="214" spans="1:2">
      <c r="A214" t="s">
        <v>287</v>
      </c>
      <c r="B214" t="s">
        <v>287</v>
      </c>
    </row>
    <row r="215" spans="1:2">
      <c r="A215" t="s">
        <v>288</v>
      </c>
      <c r="B215" t="s">
        <v>288</v>
      </c>
    </row>
    <row r="216" spans="1:2">
      <c r="A216" t="s">
        <v>289</v>
      </c>
      <c r="B216" t="s">
        <v>289</v>
      </c>
    </row>
    <row r="217" spans="1:2">
      <c r="A217" t="s">
        <v>290</v>
      </c>
      <c r="B217" t="s">
        <v>290</v>
      </c>
    </row>
    <row r="218" spans="1:2">
      <c r="A218" t="s">
        <v>291</v>
      </c>
      <c r="B218" t="s">
        <v>291</v>
      </c>
    </row>
    <row r="219" spans="1:2">
      <c r="A219" t="s">
        <v>292</v>
      </c>
      <c r="B219" t="s">
        <v>292</v>
      </c>
    </row>
    <row r="220" spans="1:2">
      <c r="A220" t="s">
        <v>293</v>
      </c>
      <c r="B220" t="s">
        <v>293</v>
      </c>
    </row>
    <row r="221" spans="1:2">
      <c r="A221" t="s">
        <v>294</v>
      </c>
      <c r="B221" t="s">
        <v>296</v>
      </c>
    </row>
    <row r="222" spans="1:2">
      <c r="A222" t="s">
        <v>295</v>
      </c>
      <c r="B222" t="s">
        <v>295</v>
      </c>
    </row>
    <row r="223" spans="1:2">
      <c r="A223" t="s">
        <v>751</v>
      </c>
      <c r="B223" t="s">
        <v>296</v>
      </c>
    </row>
    <row r="224" spans="1:2">
      <c r="A224" t="s">
        <v>296</v>
      </c>
      <c r="B224" t="s">
        <v>296</v>
      </c>
    </row>
    <row r="225" spans="1:2">
      <c r="A225" t="s">
        <v>752</v>
      </c>
      <c r="B225" t="s">
        <v>297</v>
      </c>
    </row>
    <row r="226" spans="1:2">
      <c r="A226" t="s">
        <v>753</v>
      </c>
      <c r="B226" t="s">
        <v>297</v>
      </c>
    </row>
    <row r="227" spans="1:2">
      <c r="A227" t="s">
        <v>297</v>
      </c>
      <c r="B227" t="s">
        <v>297</v>
      </c>
    </row>
    <row r="228" spans="1:2">
      <c r="A228" t="s">
        <v>298</v>
      </c>
      <c r="B228" t="s">
        <v>298</v>
      </c>
    </row>
    <row r="229" spans="1:2">
      <c r="A229" t="s">
        <v>300</v>
      </c>
      <c r="B229" t="s">
        <v>300</v>
      </c>
    </row>
    <row r="230" spans="1:2">
      <c r="A230" t="s">
        <v>301</v>
      </c>
      <c r="B230" t="s">
        <v>301</v>
      </c>
    </row>
    <row r="231" spans="1:2">
      <c r="A231" t="s">
        <v>302</v>
      </c>
      <c r="B231" t="s">
        <v>302</v>
      </c>
    </row>
    <row r="232" spans="1:2">
      <c r="A232" t="s">
        <v>303</v>
      </c>
      <c r="B232" t="s">
        <v>303</v>
      </c>
    </row>
    <row r="233" spans="1:2">
      <c r="A233" t="s">
        <v>304</v>
      </c>
      <c r="B233" t="s">
        <v>304</v>
      </c>
    </row>
    <row r="234" spans="1:2">
      <c r="A234" t="s">
        <v>305</v>
      </c>
      <c r="B234" t="s">
        <v>305</v>
      </c>
    </row>
    <row r="235" spans="1:2">
      <c r="A235" t="s">
        <v>306</v>
      </c>
      <c r="B235" t="s">
        <v>306</v>
      </c>
    </row>
    <row r="236" spans="1:2">
      <c r="A236" t="s">
        <v>307</v>
      </c>
      <c r="B236" t="s">
        <v>307</v>
      </c>
    </row>
    <row r="237" spans="1:2">
      <c r="A237" t="s">
        <v>308</v>
      </c>
      <c r="B237" t="s">
        <v>308</v>
      </c>
    </row>
    <row r="238" spans="1:2">
      <c r="A238" t="s">
        <v>309</v>
      </c>
      <c r="B238" t="s">
        <v>309</v>
      </c>
    </row>
    <row r="239" spans="1:2">
      <c r="A239" t="s">
        <v>310</v>
      </c>
      <c r="B239" t="s">
        <v>310</v>
      </c>
    </row>
    <row r="240" spans="1:2">
      <c r="A240" t="s">
        <v>311</v>
      </c>
      <c r="B240" t="s">
        <v>311</v>
      </c>
    </row>
    <row r="241" spans="1:2">
      <c r="A241" t="s">
        <v>312</v>
      </c>
      <c r="B241" t="s">
        <v>312</v>
      </c>
    </row>
    <row r="242" spans="1:2">
      <c r="A242" t="s">
        <v>313</v>
      </c>
      <c r="B242" t="s">
        <v>313</v>
      </c>
    </row>
    <row r="243" spans="1:2">
      <c r="A243" t="s">
        <v>314</v>
      </c>
      <c r="B243" t="s">
        <v>314</v>
      </c>
    </row>
    <row r="244" spans="1:2">
      <c r="A244" t="s">
        <v>315</v>
      </c>
      <c r="B244" t="s">
        <v>315</v>
      </c>
    </row>
    <row r="245" spans="1:2">
      <c r="A245" t="s">
        <v>316</v>
      </c>
      <c r="B245" t="s">
        <v>316</v>
      </c>
    </row>
    <row r="246" spans="1:2">
      <c r="A246" t="s">
        <v>317</v>
      </c>
      <c r="B246" t="s">
        <v>317</v>
      </c>
    </row>
    <row r="247" spans="1:2">
      <c r="A247" t="s">
        <v>318</v>
      </c>
      <c r="B247" t="s">
        <v>318</v>
      </c>
    </row>
    <row r="248" spans="1:2">
      <c r="A248" t="s">
        <v>319</v>
      </c>
      <c r="B248" t="s">
        <v>319</v>
      </c>
    </row>
    <row r="249" spans="1:2">
      <c r="A249" t="s">
        <v>320</v>
      </c>
      <c r="B249" t="s">
        <v>320</v>
      </c>
    </row>
    <row r="250" spans="1:2">
      <c r="A250" t="s">
        <v>322</v>
      </c>
      <c r="B250" t="s">
        <v>322</v>
      </c>
    </row>
    <row r="251" spans="1:2">
      <c r="A251" t="s">
        <v>323</v>
      </c>
      <c r="B251" t="s">
        <v>323</v>
      </c>
    </row>
    <row r="252" spans="1:2">
      <c r="A252" t="s">
        <v>324</v>
      </c>
      <c r="B252" t="s">
        <v>324</v>
      </c>
    </row>
    <row r="253" spans="1:2">
      <c r="A253" t="s">
        <v>325</v>
      </c>
      <c r="B253" t="s">
        <v>325</v>
      </c>
    </row>
    <row r="254" spans="1:2">
      <c r="A254" t="s">
        <v>754</v>
      </c>
      <c r="B254" t="s">
        <v>326</v>
      </c>
    </row>
    <row r="255" spans="1:2">
      <c r="A255" t="s">
        <v>326</v>
      </c>
      <c r="B255" t="s">
        <v>326</v>
      </c>
    </row>
    <row r="256" spans="1:2">
      <c r="A256" t="s">
        <v>327</v>
      </c>
      <c r="B256" t="s">
        <v>327</v>
      </c>
    </row>
    <row r="257" spans="1:2">
      <c r="A257" t="s">
        <v>328</v>
      </c>
      <c r="B257" t="s">
        <v>328</v>
      </c>
    </row>
    <row r="258" spans="1:2">
      <c r="A258" t="s">
        <v>329</v>
      </c>
      <c r="B258" t="s">
        <v>329</v>
      </c>
    </row>
    <row r="259" spans="1:2">
      <c r="A259" t="s">
        <v>330</v>
      </c>
      <c r="B259" t="s">
        <v>330</v>
      </c>
    </row>
    <row r="260" spans="1:2">
      <c r="A260" t="s">
        <v>331</v>
      </c>
      <c r="B260" t="s">
        <v>331</v>
      </c>
    </row>
    <row r="261" spans="1:2">
      <c r="A261" t="s">
        <v>332</v>
      </c>
      <c r="B261" t="s">
        <v>332</v>
      </c>
    </row>
    <row r="262" spans="1:2">
      <c r="A262" t="s">
        <v>333</v>
      </c>
      <c r="B262" t="s">
        <v>333</v>
      </c>
    </row>
    <row r="263" spans="1:2">
      <c r="A263" t="s">
        <v>334</v>
      </c>
      <c r="B263" t="s">
        <v>334</v>
      </c>
    </row>
    <row r="264" spans="1:2">
      <c r="A264" t="s">
        <v>335</v>
      </c>
      <c r="B264" t="s">
        <v>335</v>
      </c>
    </row>
    <row r="265" spans="1:2">
      <c r="A265" t="s">
        <v>336</v>
      </c>
      <c r="B265" t="s">
        <v>336</v>
      </c>
    </row>
    <row r="266" spans="1:2">
      <c r="A266" t="s">
        <v>338</v>
      </c>
      <c r="B266" t="s">
        <v>338</v>
      </c>
    </row>
    <row r="267" spans="1:2">
      <c r="A267" t="s">
        <v>755</v>
      </c>
      <c r="B267" t="s">
        <v>338</v>
      </c>
    </row>
    <row r="268" spans="1:2">
      <c r="A268" t="s">
        <v>340</v>
      </c>
      <c r="B268" t="s">
        <v>340</v>
      </c>
    </row>
    <row r="269" spans="1:2">
      <c r="A269" t="s">
        <v>341</v>
      </c>
      <c r="B269" t="s">
        <v>341</v>
      </c>
    </row>
    <row r="270" spans="1:2">
      <c r="A270" t="s">
        <v>342</v>
      </c>
      <c r="B270" t="s">
        <v>342</v>
      </c>
    </row>
    <row r="271" spans="1:2">
      <c r="A271" t="s">
        <v>343</v>
      </c>
      <c r="B271" t="s">
        <v>343</v>
      </c>
    </row>
    <row r="272" spans="1:2">
      <c r="A272" t="s">
        <v>344</v>
      </c>
      <c r="B272" t="s">
        <v>344</v>
      </c>
    </row>
    <row r="273" spans="1:2">
      <c r="A273" t="s">
        <v>756</v>
      </c>
      <c r="B273" t="s">
        <v>348</v>
      </c>
    </row>
    <row r="274" spans="1:2">
      <c r="A274" t="s">
        <v>345</v>
      </c>
      <c r="B274" t="s">
        <v>345</v>
      </c>
    </row>
    <row r="275" spans="1:2">
      <c r="A275" t="s">
        <v>346</v>
      </c>
      <c r="B275" t="s">
        <v>346</v>
      </c>
    </row>
    <row r="276" spans="1:2">
      <c r="A276" t="s">
        <v>347</v>
      </c>
      <c r="B276" t="s">
        <v>347</v>
      </c>
    </row>
    <row r="277" spans="1:2">
      <c r="A277" t="s">
        <v>757</v>
      </c>
      <c r="B277" t="s">
        <v>348</v>
      </c>
    </row>
    <row r="278" spans="1:2">
      <c r="A278" t="s">
        <v>348</v>
      </c>
      <c r="B278" t="s">
        <v>348</v>
      </c>
    </row>
    <row r="279" spans="1:2">
      <c r="A279" t="s">
        <v>349</v>
      </c>
      <c r="B279" t="s">
        <v>349</v>
      </c>
    </row>
    <row r="280" spans="1:2">
      <c r="A280" t="s">
        <v>350</v>
      </c>
      <c r="B280" t="s">
        <v>350</v>
      </c>
    </row>
    <row r="281" spans="1:2">
      <c r="A281" t="s">
        <v>351</v>
      </c>
      <c r="B281" t="s">
        <v>351</v>
      </c>
    </row>
    <row r="282" spans="1:2">
      <c r="A282" t="s">
        <v>352</v>
      </c>
      <c r="B282" t="s">
        <v>352</v>
      </c>
    </row>
    <row r="283" spans="1:2">
      <c r="A283" t="s">
        <v>353</v>
      </c>
      <c r="B283" t="s">
        <v>353</v>
      </c>
    </row>
    <row r="284" spans="1:2">
      <c r="A284" t="s">
        <v>354</v>
      </c>
      <c r="B284" t="s">
        <v>354</v>
      </c>
    </row>
    <row r="285" spans="1:2">
      <c r="A285" t="s">
        <v>355</v>
      </c>
      <c r="B285" t="s">
        <v>355</v>
      </c>
    </row>
    <row r="286" spans="1:2">
      <c r="A286" t="s">
        <v>356</v>
      </c>
      <c r="B286" t="s">
        <v>356</v>
      </c>
    </row>
    <row r="287" spans="1:2">
      <c r="A287" t="s">
        <v>357</v>
      </c>
      <c r="B287" t="s">
        <v>357</v>
      </c>
    </row>
    <row r="288" spans="1:2">
      <c r="A288" t="s">
        <v>358</v>
      </c>
      <c r="B288" t="s">
        <v>358</v>
      </c>
    </row>
    <row r="289" spans="1:2">
      <c r="A289" t="s">
        <v>359</v>
      </c>
      <c r="B289" t="s">
        <v>359</v>
      </c>
    </row>
    <row r="290" spans="1:2">
      <c r="A290" t="s">
        <v>360</v>
      </c>
      <c r="B290" t="s">
        <v>360</v>
      </c>
    </row>
    <row r="291" spans="1:2">
      <c r="A291" t="s">
        <v>361</v>
      </c>
      <c r="B291" t="s">
        <v>361</v>
      </c>
    </row>
    <row r="292" spans="1:2">
      <c r="A292" t="s">
        <v>362</v>
      </c>
      <c r="B292" t="s">
        <v>362</v>
      </c>
    </row>
    <row r="293" spans="1:2">
      <c r="A293" t="s">
        <v>363</v>
      </c>
      <c r="B293" t="s">
        <v>363</v>
      </c>
    </row>
    <row r="294" spans="1:2">
      <c r="A294" t="s">
        <v>364</v>
      </c>
      <c r="B294" t="s">
        <v>364</v>
      </c>
    </row>
    <row r="295" spans="1:2">
      <c r="A295" t="s">
        <v>365</v>
      </c>
      <c r="B295" t="s">
        <v>365</v>
      </c>
    </row>
    <row r="296" spans="1:2">
      <c r="A296" t="s">
        <v>366</v>
      </c>
      <c r="B296" t="s">
        <v>366</v>
      </c>
    </row>
    <row r="297" spans="1:2">
      <c r="A297" t="s">
        <v>367</v>
      </c>
      <c r="B297" t="s">
        <v>367</v>
      </c>
    </row>
    <row r="298" spans="1:2">
      <c r="A298" t="s">
        <v>368</v>
      </c>
      <c r="B298" t="s">
        <v>368</v>
      </c>
    </row>
    <row r="299" spans="1:2">
      <c r="A299" t="s">
        <v>369</v>
      </c>
      <c r="B299" t="s">
        <v>369</v>
      </c>
    </row>
    <row r="300" spans="1:2">
      <c r="A300" t="s">
        <v>370</v>
      </c>
      <c r="B300" t="s">
        <v>370</v>
      </c>
    </row>
    <row r="301" spans="1:2">
      <c r="A301" t="s">
        <v>371</v>
      </c>
      <c r="B301" t="s">
        <v>371</v>
      </c>
    </row>
    <row r="302" spans="1:2">
      <c r="A302" t="s">
        <v>372</v>
      </c>
      <c r="B302" t="s">
        <v>372</v>
      </c>
    </row>
    <row r="303" spans="1:2">
      <c r="A303" t="s">
        <v>373</v>
      </c>
      <c r="B303" t="s">
        <v>373</v>
      </c>
    </row>
    <row r="304" spans="1:2">
      <c r="A304" t="s">
        <v>374</v>
      </c>
      <c r="B304" t="s">
        <v>374</v>
      </c>
    </row>
    <row r="305" spans="1:2">
      <c r="A305" t="s">
        <v>375</v>
      </c>
      <c r="B305" t="s">
        <v>375</v>
      </c>
    </row>
    <row r="306" spans="1:2">
      <c r="A306" t="s">
        <v>376</v>
      </c>
      <c r="B306" t="s">
        <v>376</v>
      </c>
    </row>
    <row r="307" spans="1:2">
      <c r="A307" t="s">
        <v>377</v>
      </c>
      <c r="B307" t="s">
        <v>377</v>
      </c>
    </row>
    <row r="308" spans="1:2">
      <c r="A308" t="s">
        <v>378</v>
      </c>
      <c r="B308" t="s">
        <v>378</v>
      </c>
    </row>
    <row r="309" spans="1:2">
      <c r="A309" t="s">
        <v>758</v>
      </c>
      <c r="B309" t="s">
        <v>80</v>
      </c>
    </row>
    <row r="310" spans="1:2">
      <c r="A310" t="s">
        <v>379</v>
      </c>
      <c r="B310" t="s">
        <v>379</v>
      </c>
    </row>
    <row r="311" spans="1:2">
      <c r="A311" t="s">
        <v>380</v>
      </c>
      <c r="B311" t="s">
        <v>380</v>
      </c>
    </row>
    <row r="312" spans="1:2">
      <c r="A312" t="s">
        <v>381</v>
      </c>
      <c r="B312" t="s">
        <v>381</v>
      </c>
    </row>
    <row r="313" spans="1:2">
      <c r="A313" t="s">
        <v>382</v>
      </c>
      <c r="B313" t="s">
        <v>382</v>
      </c>
    </row>
    <row r="314" spans="1:2">
      <c r="A314" t="s">
        <v>759</v>
      </c>
      <c r="B314" t="s">
        <v>383</v>
      </c>
    </row>
    <row r="315" spans="1:2">
      <c r="A315" t="s">
        <v>383</v>
      </c>
      <c r="B315" t="s">
        <v>383</v>
      </c>
    </row>
    <row r="316" spans="1:2">
      <c r="A316" t="s">
        <v>384</v>
      </c>
      <c r="B316" t="s">
        <v>384</v>
      </c>
    </row>
    <row r="317" spans="1:2">
      <c r="A317" t="s">
        <v>385</v>
      </c>
      <c r="B317" t="s">
        <v>385</v>
      </c>
    </row>
    <row r="318" spans="1:2">
      <c r="A318" t="s">
        <v>386</v>
      </c>
      <c r="B318" t="s">
        <v>386</v>
      </c>
    </row>
    <row r="319" spans="1:2">
      <c r="A319" t="s">
        <v>387</v>
      </c>
      <c r="B319" t="s">
        <v>387</v>
      </c>
    </row>
    <row r="320" spans="1:2">
      <c r="A320" t="s">
        <v>388</v>
      </c>
      <c r="B320" t="s">
        <v>388</v>
      </c>
    </row>
    <row r="321" spans="1:2">
      <c r="A321" t="s">
        <v>389</v>
      </c>
      <c r="B321" t="s">
        <v>389</v>
      </c>
    </row>
    <row r="322" spans="1:2">
      <c r="A322" t="s">
        <v>390</v>
      </c>
      <c r="B322" t="s">
        <v>390</v>
      </c>
    </row>
    <row r="323" spans="1:2">
      <c r="A323" t="s">
        <v>760</v>
      </c>
      <c r="B323" t="s">
        <v>605</v>
      </c>
    </row>
    <row r="324" spans="1:2">
      <c r="A324" t="s">
        <v>391</v>
      </c>
      <c r="B324" t="s">
        <v>391</v>
      </c>
    </row>
    <row r="325" spans="1:2">
      <c r="A325" t="s">
        <v>392</v>
      </c>
      <c r="B325" t="s">
        <v>392</v>
      </c>
    </row>
    <row r="326" spans="1:2">
      <c r="A326" t="s">
        <v>393</v>
      </c>
      <c r="B326" t="s">
        <v>393</v>
      </c>
    </row>
    <row r="327" spans="1:2">
      <c r="A327" t="s">
        <v>394</v>
      </c>
      <c r="B327" t="s">
        <v>394</v>
      </c>
    </row>
    <row r="328" spans="1:2">
      <c r="A328" t="s">
        <v>395</v>
      </c>
      <c r="B328" t="s">
        <v>395</v>
      </c>
    </row>
    <row r="329" spans="1:2">
      <c r="A329" t="s">
        <v>396</v>
      </c>
      <c r="B329" t="s">
        <v>396</v>
      </c>
    </row>
    <row r="330" spans="1:2">
      <c r="A330" t="s">
        <v>397</v>
      </c>
      <c r="B330" t="s">
        <v>397</v>
      </c>
    </row>
    <row r="331" spans="1:2">
      <c r="A331" t="s">
        <v>399</v>
      </c>
      <c r="B331" t="s">
        <v>399</v>
      </c>
    </row>
    <row r="332" spans="1:2">
      <c r="A332" t="s">
        <v>400</v>
      </c>
      <c r="B332" t="s">
        <v>400</v>
      </c>
    </row>
    <row r="333" spans="1:2">
      <c r="A333" t="s">
        <v>401</v>
      </c>
      <c r="B333" t="s">
        <v>401</v>
      </c>
    </row>
    <row r="334" spans="1:2">
      <c r="A334" t="s">
        <v>402</v>
      </c>
      <c r="B334" t="s">
        <v>402</v>
      </c>
    </row>
    <row r="335" spans="1:2">
      <c r="A335" t="s">
        <v>404</v>
      </c>
      <c r="B335" t="s">
        <v>404</v>
      </c>
    </row>
    <row r="336" spans="1:2">
      <c r="A336" t="s">
        <v>405</v>
      </c>
      <c r="B336" t="s">
        <v>405</v>
      </c>
    </row>
    <row r="337" spans="1:2">
      <c r="A337" t="s">
        <v>406</v>
      </c>
      <c r="B337" t="s">
        <v>406</v>
      </c>
    </row>
    <row r="338" spans="1:2">
      <c r="A338" t="s">
        <v>407</v>
      </c>
      <c r="B338" t="s">
        <v>407</v>
      </c>
    </row>
    <row r="339" spans="1:2">
      <c r="A339" t="s">
        <v>761</v>
      </c>
      <c r="B339" t="s">
        <v>407</v>
      </c>
    </row>
    <row r="340" spans="1:2">
      <c r="A340" t="s">
        <v>408</v>
      </c>
      <c r="B340" t="s">
        <v>408</v>
      </c>
    </row>
    <row r="341" spans="1:2">
      <c r="A341" t="s">
        <v>409</v>
      </c>
      <c r="B341" t="s">
        <v>409</v>
      </c>
    </row>
    <row r="342" spans="1:2">
      <c r="A342" t="s">
        <v>410</v>
      </c>
      <c r="B342" t="s">
        <v>410</v>
      </c>
    </row>
    <row r="343" spans="1:2">
      <c r="A343" t="s">
        <v>411</v>
      </c>
      <c r="B343" t="s">
        <v>411</v>
      </c>
    </row>
    <row r="344" spans="1:2">
      <c r="A344" t="s">
        <v>412</v>
      </c>
      <c r="B344" t="s">
        <v>412</v>
      </c>
    </row>
    <row r="345" spans="1:2">
      <c r="A345" t="s">
        <v>413</v>
      </c>
      <c r="B345" t="s">
        <v>413</v>
      </c>
    </row>
    <row r="346" spans="1:2">
      <c r="A346" t="s">
        <v>414</v>
      </c>
      <c r="B346" t="s">
        <v>414</v>
      </c>
    </row>
    <row r="347" spans="1:2">
      <c r="A347" t="s">
        <v>415</v>
      </c>
      <c r="B347" t="s">
        <v>415</v>
      </c>
    </row>
    <row r="348" spans="1:2">
      <c r="A348" t="s">
        <v>416</v>
      </c>
      <c r="B348" t="s">
        <v>416</v>
      </c>
    </row>
    <row r="349" spans="1:2">
      <c r="A349" t="s">
        <v>417</v>
      </c>
      <c r="B349" t="s">
        <v>417</v>
      </c>
    </row>
    <row r="350" spans="1:2">
      <c r="A350" t="s">
        <v>418</v>
      </c>
      <c r="B350" t="s">
        <v>418</v>
      </c>
    </row>
    <row r="351" spans="1:2">
      <c r="A351" t="s">
        <v>419</v>
      </c>
      <c r="B351" t="s">
        <v>419</v>
      </c>
    </row>
    <row r="352" spans="1:2">
      <c r="A352" t="s">
        <v>420</v>
      </c>
      <c r="B352" t="s">
        <v>420</v>
      </c>
    </row>
    <row r="353" spans="1:2">
      <c r="A353" t="s">
        <v>422</v>
      </c>
      <c r="B353" t="s">
        <v>422</v>
      </c>
    </row>
    <row r="354" spans="1:2">
      <c r="A354" t="s">
        <v>423</v>
      </c>
      <c r="B354" t="s">
        <v>423</v>
      </c>
    </row>
    <row r="355" spans="1:2">
      <c r="A355" t="s">
        <v>424</v>
      </c>
      <c r="B355" t="s">
        <v>426</v>
      </c>
    </row>
    <row r="356" spans="1:2">
      <c r="A356" t="s">
        <v>426</v>
      </c>
      <c r="B356" t="s">
        <v>426</v>
      </c>
    </row>
    <row r="357" spans="1:2">
      <c r="A357" t="s">
        <v>762</v>
      </c>
      <c r="B357" t="s">
        <v>571</v>
      </c>
    </row>
    <row r="358" spans="1:2">
      <c r="A358" t="s">
        <v>427</v>
      </c>
      <c r="B358" t="s">
        <v>427</v>
      </c>
    </row>
    <row r="359" spans="1:2">
      <c r="A359" t="s">
        <v>763</v>
      </c>
      <c r="B359" t="s">
        <v>428</v>
      </c>
    </row>
    <row r="360" spans="1:2">
      <c r="A360" t="s">
        <v>428</v>
      </c>
      <c r="B360" t="s">
        <v>428</v>
      </c>
    </row>
    <row r="361" spans="1:2">
      <c r="A361" t="s">
        <v>764</v>
      </c>
      <c r="B361" t="s">
        <v>428</v>
      </c>
    </row>
    <row r="362" spans="1:2">
      <c r="A362" t="s">
        <v>765</v>
      </c>
      <c r="B362" t="s">
        <v>429</v>
      </c>
    </row>
    <row r="363" spans="1:2">
      <c r="A363" t="s">
        <v>429</v>
      </c>
      <c r="B363" t="s">
        <v>429</v>
      </c>
    </row>
    <row r="364" spans="1:2">
      <c r="A364" t="s">
        <v>430</v>
      </c>
      <c r="B364" t="s">
        <v>430</v>
      </c>
    </row>
    <row r="365" spans="1:2">
      <c r="A365" t="s">
        <v>431</v>
      </c>
      <c r="B365" t="s">
        <v>431</v>
      </c>
    </row>
    <row r="366" spans="1:2">
      <c r="A366" t="s">
        <v>766</v>
      </c>
      <c r="B366" t="s">
        <v>431</v>
      </c>
    </row>
    <row r="367" spans="1:2">
      <c r="A367" t="s">
        <v>432</v>
      </c>
      <c r="B367" t="s">
        <v>432</v>
      </c>
    </row>
    <row r="368" spans="1:2">
      <c r="A368" t="s">
        <v>433</v>
      </c>
      <c r="B368" t="s">
        <v>433</v>
      </c>
    </row>
    <row r="369" spans="1:2">
      <c r="A369" t="s">
        <v>767</v>
      </c>
      <c r="B369" t="s">
        <v>643</v>
      </c>
    </row>
    <row r="370" spans="1:2">
      <c r="A370" t="s">
        <v>434</v>
      </c>
      <c r="B370" t="s">
        <v>434</v>
      </c>
    </row>
    <row r="371" spans="1:2">
      <c r="A371" t="s">
        <v>435</v>
      </c>
      <c r="B371" t="s">
        <v>435</v>
      </c>
    </row>
    <row r="372" spans="1:2">
      <c r="A372" t="s">
        <v>436</v>
      </c>
      <c r="B372" t="s">
        <v>436</v>
      </c>
    </row>
    <row r="373" spans="1:2">
      <c r="A373" t="s">
        <v>437</v>
      </c>
      <c r="B373" t="s">
        <v>437</v>
      </c>
    </row>
    <row r="374" spans="1:2">
      <c r="A374" t="s">
        <v>438</v>
      </c>
      <c r="B374" t="s">
        <v>438</v>
      </c>
    </row>
    <row r="375" spans="1:2">
      <c r="A375" t="s">
        <v>439</v>
      </c>
      <c r="B375" t="s">
        <v>439</v>
      </c>
    </row>
    <row r="376" spans="1:2">
      <c r="A376" t="s">
        <v>440</v>
      </c>
      <c r="B376" t="s">
        <v>440</v>
      </c>
    </row>
    <row r="377" spans="1:2">
      <c r="A377" t="s">
        <v>441</v>
      </c>
      <c r="B377" t="s">
        <v>441</v>
      </c>
    </row>
    <row r="378" spans="1:2">
      <c r="A378" t="s">
        <v>442</v>
      </c>
      <c r="B378" t="s">
        <v>442</v>
      </c>
    </row>
    <row r="379" spans="1:2">
      <c r="A379" t="s">
        <v>443</v>
      </c>
      <c r="B379" t="s">
        <v>443</v>
      </c>
    </row>
    <row r="380" spans="1:2">
      <c r="A380" t="s">
        <v>445</v>
      </c>
      <c r="B380" t="s">
        <v>445</v>
      </c>
    </row>
    <row r="381" spans="1:2">
      <c r="A381" t="s">
        <v>446</v>
      </c>
      <c r="B381" t="s">
        <v>446</v>
      </c>
    </row>
    <row r="382" spans="1:2">
      <c r="A382" t="s">
        <v>447</v>
      </c>
      <c r="B382" t="s">
        <v>447</v>
      </c>
    </row>
    <row r="383" spans="1:2">
      <c r="A383" t="s">
        <v>448</v>
      </c>
      <c r="B383" t="s">
        <v>448</v>
      </c>
    </row>
    <row r="384" spans="1:2">
      <c r="A384" t="s">
        <v>449</v>
      </c>
      <c r="B384" t="s">
        <v>449</v>
      </c>
    </row>
    <row r="385" spans="1:2">
      <c r="A385" t="s">
        <v>450</v>
      </c>
      <c r="B385" t="s">
        <v>450</v>
      </c>
    </row>
    <row r="386" spans="1:2">
      <c r="A386" t="s">
        <v>451</v>
      </c>
      <c r="B386" t="s">
        <v>451</v>
      </c>
    </row>
    <row r="387" spans="1:2">
      <c r="A387" t="s">
        <v>452</v>
      </c>
      <c r="B387" t="s">
        <v>452</v>
      </c>
    </row>
    <row r="388" spans="1:2">
      <c r="A388" t="s">
        <v>453</v>
      </c>
      <c r="B388" t="s">
        <v>453</v>
      </c>
    </row>
    <row r="389" spans="1:2">
      <c r="A389" t="s">
        <v>454</v>
      </c>
      <c r="B389" t="s">
        <v>454</v>
      </c>
    </row>
    <row r="390" spans="1:2">
      <c r="A390" t="s">
        <v>455</v>
      </c>
      <c r="B390" t="s">
        <v>455</v>
      </c>
    </row>
    <row r="391" spans="1:2">
      <c r="A391" t="s">
        <v>457</v>
      </c>
      <c r="B391" t="s">
        <v>457</v>
      </c>
    </row>
    <row r="392" spans="1:2">
      <c r="A392" t="s">
        <v>458</v>
      </c>
      <c r="B392" t="s">
        <v>458</v>
      </c>
    </row>
    <row r="393" spans="1:2">
      <c r="A393" t="s">
        <v>459</v>
      </c>
      <c r="B393" t="s">
        <v>459</v>
      </c>
    </row>
    <row r="394" spans="1:2">
      <c r="A394" t="s">
        <v>460</v>
      </c>
      <c r="B394" t="s">
        <v>460</v>
      </c>
    </row>
    <row r="395" spans="1:2">
      <c r="A395" t="s">
        <v>461</v>
      </c>
      <c r="B395" t="s">
        <v>461</v>
      </c>
    </row>
    <row r="396" spans="1:2">
      <c r="A396" t="s">
        <v>462</v>
      </c>
      <c r="B396" t="s">
        <v>462</v>
      </c>
    </row>
    <row r="397" spans="1:2">
      <c r="A397" t="s">
        <v>463</v>
      </c>
      <c r="B397" t="s">
        <v>463</v>
      </c>
    </row>
    <row r="398" spans="1:2">
      <c r="A398" t="s">
        <v>464</v>
      </c>
      <c r="B398" t="s">
        <v>464</v>
      </c>
    </row>
    <row r="399" spans="1:2">
      <c r="A399" t="s">
        <v>465</v>
      </c>
      <c r="B399" t="s">
        <v>465</v>
      </c>
    </row>
    <row r="400" spans="1:2">
      <c r="A400" t="s">
        <v>466</v>
      </c>
      <c r="B400" t="s">
        <v>466</v>
      </c>
    </row>
    <row r="401" spans="1:2">
      <c r="A401" t="s">
        <v>467</v>
      </c>
      <c r="B401" t="s">
        <v>467</v>
      </c>
    </row>
    <row r="402" spans="1:2">
      <c r="A402" t="s">
        <v>468</v>
      </c>
      <c r="B402" t="s">
        <v>468</v>
      </c>
    </row>
    <row r="403" spans="1:2">
      <c r="A403" t="s">
        <v>469</v>
      </c>
      <c r="B403" t="s">
        <v>469</v>
      </c>
    </row>
    <row r="404" spans="1:2">
      <c r="A404" t="s">
        <v>470</v>
      </c>
      <c r="B404" t="s">
        <v>470</v>
      </c>
    </row>
    <row r="405" spans="1:2">
      <c r="A405" t="s">
        <v>471</v>
      </c>
      <c r="B405" t="s">
        <v>471</v>
      </c>
    </row>
    <row r="406" spans="1:2">
      <c r="A406" t="s">
        <v>472</v>
      </c>
      <c r="B406" t="s">
        <v>472</v>
      </c>
    </row>
    <row r="407" spans="1:2">
      <c r="A407" t="s">
        <v>473</v>
      </c>
      <c r="B407" t="s">
        <v>473</v>
      </c>
    </row>
    <row r="408" spans="1:2">
      <c r="A408" t="s">
        <v>474</v>
      </c>
      <c r="B408" t="s">
        <v>474</v>
      </c>
    </row>
    <row r="409" spans="1:2">
      <c r="A409" t="s">
        <v>475</v>
      </c>
      <c r="B409" t="s">
        <v>475</v>
      </c>
    </row>
    <row r="410" spans="1:2">
      <c r="A410" t="s">
        <v>476</v>
      </c>
      <c r="B410" t="s">
        <v>476</v>
      </c>
    </row>
    <row r="411" spans="1:2">
      <c r="A411" t="s">
        <v>477</v>
      </c>
      <c r="B411" t="s">
        <v>477</v>
      </c>
    </row>
    <row r="412" spans="1:2">
      <c r="A412" t="s">
        <v>478</v>
      </c>
      <c r="B412" t="s">
        <v>478</v>
      </c>
    </row>
    <row r="413" spans="1:2">
      <c r="A413" t="s">
        <v>479</v>
      </c>
      <c r="B413" t="s">
        <v>479</v>
      </c>
    </row>
    <row r="414" spans="1:2">
      <c r="A414" t="s">
        <v>480</v>
      </c>
      <c r="B414" t="s">
        <v>480</v>
      </c>
    </row>
    <row r="415" spans="1:2">
      <c r="A415" t="s">
        <v>481</v>
      </c>
      <c r="B415" t="s">
        <v>481</v>
      </c>
    </row>
    <row r="416" spans="1:2">
      <c r="A416" t="s">
        <v>482</v>
      </c>
      <c r="B416" t="s">
        <v>482</v>
      </c>
    </row>
    <row r="417" spans="1:2">
      <c r="A417" t="s">
        <v>483</v>
      </c>
      <c r="B417" t="s">
        <v>483</v>
      </c>
    </row>
    <row r="418" spans="1:2">
      <c r="A418" t="s">
        <v>484</v>
      </c>
      <c r="B418" t="s">
        <v>484</v>
      </c>
    </row>
    <row r="419" spans="1:2">
      <c r="A419" t="s">
        <v>485</v>
      </c>
      <c r="B419" t="s">
        <v>485</v>
      </c>
    </row>
    <row r="420" spans="1:2">
      <c r="A420" t="s">
        <v>486</v>
      </c>
      <c r="B420" t="s">
        <v>486</v>
      </c>
    </row>
    <row r="421" spans="1:2">
      <c r="A421" t="s">
        <v>487</v>
      </c>
      <c r="B421" t="s">
        <v>487</v>
      </c>
    </row>
    <row r="422" spans="1:2">
      <c r="A422" t="s">
        <v>488</v>
      </c>
      <c r="B422" t="s">
        <v>488</v>
      </c>
    </row>
    <row r="423" spans="1:2">
      <c r="A423" t="s">
        <v>489</v>
      </c>
      <c r="B423" t="s">
        <v>489</v>
      </c>
    </row>
    <row r="424" spans="1:2">
      <c r="A424" t="s">
        <v>490</v>
      </c>
      <c r="B424" t="s">
        <v>490</v>
      </c>
    </row>
    <row r="425" spans="1:2">
      <c r="A425" t="s">
        <v>491</v>
      </c>
      <c r="B425" t="s">
        <v>491</v>
      </c>
    </row>
    <row r="426" spans="1:2">
      <c r="A426" t="s">
        <v>492</v>
      </c>
      <c r="B426" t="s">
        <v>492</v>
      </c>
    </row>
    <row r="427" spans="1:2">
      <c r="A427" t="s">
        <v>768</v>
      </c>
      <c r="B427" t="s">
        <v>493</v>
      </c>
    </row>
    <row r="428" spans="1:2">
      <c r="A428" t="s">
        <v>493</v>
      </c>
      <c r="B428" t="s">
        <v>493</v>
      </c>
    </row>
    <row r="429" spans="1:2">
      <c r="A429" t="s">
        <v>494</v>
      </c>
      <c r="B429" t="s">
        <v>494</v>
      </c>
    </row>
    <row r="430" spans="1:2">
      <c r="A430" t="s">
        <v>495</v>
      </c>
      <c r="B430" t="s">
        <v>495</v>
      </c>
    </row>
    <row r="431" spans="1:2">
      <c r="A431" t="s">
        <v>496</v>
      </c>
      <c r="B431" t="s">
        <v>496</v>
      </c>
    </row>
    <row r="432" spans="1:2">
      <c r="A432" t="s">
        <v>769</v>
      </c>
      <c r="B432" t="s">
        <v>497</v>
      </c>
    </row>
    <row r="433" spans="1:2">
      <c r="A433" t="s">
        <v>497</v>
      </c>
      <c r="B433" t="s">
        <v>497</v>
      </c>
    </row>
    <row r="434" spans="1:2">
      <c r="A434" t="s">
        <v>499</v>
      </c>
      <c r="B434" t="s">
        <v>499</v>
      </c>
    </row>
    <row r="435" spans="1:2">
      <c r="A435" t="s">
        <v>500</v>
      </c>
      <c r="B435" t="s">
        <v>500</v>
      </c>
    </row>
    <row r="436" spans="1:2">
      <c r="A436" t="s">
        <v>501</v>
      </c>
      <c r="B436" t="s">
        <v>501</v>
      </c>
    </row>
    <row r="437" spans="1:2">
      <c r="A437" t="s">
        <v>502</v>
      </c>
      <c r="B437" t="s">
        <v>502</v>
      </c>
    </row>
    <row r="438" spans="1:2">
      <c r="A438" t="s">
        <v>503</v>
      </c>
      <c r="B438" t="s">
        <v>503</v>
      </c>
    </row>
    <row r="439" spans="1:2">
      <c r="A439" t="s">
        <v>770</v>
      </c>
      <c r="B439" t="s">
        <v>504</v>
      </c>
    </row>
    <row r="440" spans="1:2">
      <c r="A440" t="s">
        <v>504</v>
      </c>
      <c r="B440" t="s">
        <v>504</v>
      </c>
    </row>
    <row r="441" spans="1:2">
      <c r="A441" t="s">
        <v>771</v>
      </c>
      <c r="B441" t="s">
        <v>504</v>
      </c>
    </row>
    <row r="442" spans="1:2">
      <c r="A442" t="s">
        <v>505</v>
      </c>
      <c r="B442" t="s">
        <v>505</v>
      </c>
    </row>
    <row r="443" spans="1:2">
      <c r="A443" t="s">
        <v>506</v>
      </c>
      <c r="B443" t="s">
        <v>506</v>
      </c>
    </row>
    <row r="444" spans="1:2">
      <c r="A444" t="s">
        <v>507</v>
      </c>
      <c r="B444" t="s">
        <v>507</v>
      </c>
    </row>
    <row r="445" spans="1:2">
      <c r="A445" t="s">
        <v>508</v>
      </c>
      <c r="B445" t="s">
        <v>508</v>
      </c>
    </row>
    <row r="446" spans="1:2">
      <c r="A446" t="s">
        <v>509</v>
      </c>
      <c r="B446" t="s">
        <v>509</v>
      </c>
    </row>
    <row r="447" spans="1:2">
      <c r="A447" t="s">
        <v>510</v>
      </c>
      <c r="B447" t="s">
        <v>510</v>
      </c>
    </row>
    <row r="448" spans="1:2">
      <c r="A448" t="s">
        <v>772</v>
      </c>
      <c r="B448" t="s">
        <v>511</v>
      </c>
    </row>
    <row r="449" spans="1:2">
      <c r="A449" t="s">
        <v>511</v>
      </c>
      <c r="B449" t="s">
        <v>511</v>
      </c>
    </row>
    <row r="450" spans="1:2">
      <c r="A450" t="s">
        <v>512</v>
      </c>
      <c r="B450" t="s">
        <v>61</v>
      </c>
    </row>
    <row r="451" spans="1:2">
      <c r="A451" t="s">
        <v>513</v>
      </c>
      <c r="B451" t="s">
        <v>513</v>
      </c>
    </row>
    <row r="452" spans="1:2">
      <c r="A452" t="s">
        <v>773</v>
      </c>
      <c r="B452" t="s">
        <v>514</v>
      </c>
    </row>
    <row r="453" spans="1:2">
      <c r="A453" t="s">
        <v>514</v>
      </c>
      <c r="B453" t="s">
        <v>514</v>
      </c>
    </row>
    <row r="454" spans="1:2">
      <c r="A454" t="s">
        <v>516</v>
      </c>
      <c r="B454" t="s">
        <v>516</v>
      </c>
    </row>
    <row r="455" spans="1:2">
      <c r="A455" t="s">
        <v>517</v>
      </c>
      <c r="B455" t="s">
        <v>517</v>
      </c>
    </row>
    <row r="456" spans="1:2">
      <c r="A456" t="s">
        <v>518</v>
      </c>
      <c r="B456" t="s">
        <v>518</v>
      </c>
    </row>
    <row r="457" spans="1:2">
      <c r="A457" t="s">
        <v>519</v>
      </c>
      <c r="B457" t="s">
        <v>519</v>
      </c>
    </row>
    <row r="458" spans="1:2">
      <c r="A458" t="s">
        <v>520</v>
      </c>
      <c r="B458" t="s">
        <v>520</v>
      </c>
    </row>
    <row r="459" spans="1:2">
      <c r="A459" t="s">
        <v>521</v>
      </c>
      <c r="B459" t="s">
        <v>521</v>
      </c>
    </row>
    <row r="460" spans="1:2">
      <c r="A460" t="s">
        <v>522</v>
      </c>
      <c r="B460" t="s">
        <v>522</v>
      </c>
    </row>
    <row r="461" spans="1:2">
      <c r="A461" t="s">
        <v>523</v>
      </c>
      <c r="B461" t="s">
        <v>523</v>
      </c>
    </row>
    <row r="462" spans="1:2">
      <c r="A462" t="s">
        <v>524</v>
      </c>
      <c r="B462" t="s">
        <v>524</v>
      </c>
    </row>
    <row r="463" spans="1:2">
      <c r="A463" t="s">
        <v>525</v>
      </c>
      <c r="B463" t="s">
        <v>525</v>
      </c>
    </row>
    <row r="464" spans="1:2">
      <c r="A464" t="s">
        <v>526</v>
      </c>
      <c r="B464" t="s">
        <v>526</v>
      </c>
    </row>
    <row r="465" spans="1:2">
      <c r="A465" t="s">
        <v>527</v>
      </c>
      <c r="B465" t="s">
        <v>527</v>
      </c>
    </row>
    <row r="466" spans="1:2">
      <c r="A466" t="s">
        <v>528</v>
      </c>
      <c r="B466" t="s">
        <v>528</v>
      </c>
    </row>
    <row r="467" spans="1:2">
      <c r="A467" t="s">
        <v>529</v>
      </c>
      <c r="B467" t="s">
        <v>529</v>
      </c>
    </row>
    <row r="468" spans="1:2">
      <c r="A468" t="s">
        <v>530</v>
      </c>
      <c r="B468" t="s">
        <v>530</v>
      </c>
    </row>
    <row r="469" spans="1:2">
      <c r="A469" t="s">
        <v>531</v>
      </c>
      <c r="B469" t="s">
        <v>531</v>
      </c>
    </row>
    <row r="470" spans="1:2">
      <c r="A470" t="s">
        <v>532</v>
      </c>
      <c r="B470" t="s">
        <v>532</v>
      </c>
    </row>
    <row r="471" spans="1:2">
      <c r="A471" t="s">
        <v>533</v>
      </c>
      <c r="B471" t="s">
        <v>533</v>
      </c>
    </row>
    <row r="472" spans="1:2">
      <c r="A472" t="s">
        <v>534</v>
      </c>
      <c r="B472" t="s">
        <v>534</v>
      </c>
    </row>
    <row r="473" spans="1:2">
      <c r="A473" t="s">
        <v>535</v>
      </c>
      <c r="B473" t="s">
        <v>535</v>
      </c>
    </row>
    <row r="474" spans="1:2">
      <c r="A474" t="s">
        <v>536</v>
      </c>
      <c r="B474" t="s">
        <v>536</v>
      </c>
    </row>
    <row r="475" spans="1:2">
      <c r="A475" t="s">
        <v>537</v>
      </c>
      <c r="B475" t="s">
        <v>537</v>
      </c>
    </row>
    <row r="476" spans="1:2">
      <c r="A476" t="s">
        <v>538</v>
      </c>
      <c r="B476" t="s">
        <v>538</v>
      </c>
    </row>
    <row r="477" spans="1:2">
      <c r="A477" t="s">
        <v>539</v>
      </c>
      <c r="B477" t="s">
        <v>539</v>
      </c>
    </row>
    <row r="478" spans="1:2">
      <c r="A478" t="s">
        <v>540</v>
      </c>
      <c r="B478" t="s">
        <v>540</v>
      </c>
    </row>
    <row r="479" spans="1:2">
      <c r="A479" t="s">
        <v>541</v>
      </c>
      <c r="B479" t="s">
        <v>541</v>
      </c>
    </row>
    <row r="480" spans="1:2">
      <c r="A480" t="s">
        <v>542</v>
      </c>
      <c r="B480" t="s">
        <v>542</v>
      </c>
    </row>
    <row r="481" spans="1:2">
      <c r="A481" t="s">
        <v>543</v>
      </c>
      <c r="B481" t="s">
        <v>543</v>
      </c>
    </row>
    <row r="482" spans="1:2">
      <c r="A482" t="s">
        <v>544</v>
      </c>
      <c r="B482" t="s">
        <v>544</v>
      </c>
    </row>
    <row r="483" spans="1:2">
      <c r="A483" t="s">
        <v>545</v>
      </c>
      <c r="B483" t="s">
        <v>545</v>
      </c>
    </row>
    <row r="484" spans="1:2">
      <c r="A484" t="s">
        <v>546</v>
      </c>
      <c r="B484" t="s">
        <v>546</v>
      </c>
    </row>
    <row r="485" spans="1:2">
      <c r="A485" t="s">
        <v>547</v>
      </c>
      <c r="B485" t="s">
        <v>547</v>
      </c>
    </row>
    <row r="486" spans="1:2">
      <c r="A486" t="s">
        <v>548</v>
      </c>
      <c r="B486" t="s">
        <v>548</v>
      </c>
    </row>
    <row r="487" spans="1:2">
      <c r="A487" t="s">
        <v>774</v>
      </c>
      <c r="B487" t="s">
        <v>548</v>
      </c>
    </row>
    <row r="488" spans="1:2">
      <c r="A488" t="s">
        <v>549</v>
      </c>
      <c r="B488" t="s">
        <v>549</v>
      </c>
    </row>
    <row r="489" spans="1:2">
      <c r="A489" t="s">
        <v>550</v>
      </c>
      <c r="B489" t="s">
        <v>550</v>
      </c>
    </row>
    <row r="490" spans="1:2">
      <c r="A490" t="s">
        <v>552</v>
      </c>
      <c r="B490" t="s">
        <v>552</v>
      </c>
    </row>
    <row r="491" spans="1:2">
      <c r="A491" t="s">
        <v>553</v>
      </c>
      <c r="B491" t="s">
        <v>553</v>
      </c>
    </row>
    <row r="492" spans="1:2">
      <c r="A492" t="s">
        <v>554</v>
      </c>
      <c r="B492" t="s">
        <v>554</v>
      </c>
    </row>
    <row r="493" spans="1:2">
      <c r="A493" t="s">
        <v>556</v>
      </c>
      <c r="B493" t="s">
        <v>556</v>
      </c>
    </row>
    <row r="494" spans="1:2">
      <c r="A494" t="s">
        <v>557</v>
      </c>
      <c r="B494" t="s">
        <v>557</v>
      </c>
    </row>
    <row r="495" spans="1:2">
      <c r="A495" t="s">
        <v>558</v>
      </c>
      <c r="B495" t="s">
        <v>558</v>
      </c>
    </row>
    <row r="496" spans="1:2">
      <c r="A496" t="s">
        <v>559</v>
      </c>
      <c r="B496" t="s">
        <v>559</v>
      </c>
    </row>
    <row r="497" spans="1:2">
      <c r="A497" t="s">
        <v>560</v>
      </c>
      <c r="B497" t="s">
        <v>560</v>
      </c>
    </row>
    <row r="498" spans="1:2">
      <c r="A498" t="s">
        <v>561</v>
      </c>
      <c r="B498" t="s">
        <v>561</v>
      </c>
    </row>
    <row r="499" spans="1:2">
      <c r="A499" t="s">
        <v>562</v>
      </c>
      <c r="B499" t="s">
        <v>562</v>
      </c>
    </row>
    <row r="500" spans="1:2">
      <c r="A500" t="s">
        <v>563</v>
      </c>
      <c r="B500" t="s">
        <v>563</v>
      </c>
    </row>
    <row r="501" spans="1:2">
      <c r="A501" t="s">
        <v>564</v>
      </c>
      <c r="B501" t="s">
        <v>564</v>
      </c>
    </row>
    <row r="502" spans="1:2">
      <c r="A502" t="s">
        <v>565</v>
      </c>
      <c r="B502" t="s">
        <v>565</v>
      </c>
    </row>
    <row r="503" spans="1:2">
      <c r="A503" t="s">
        <v>566</v>
      </c>
      <c r="B503" t="s">
        <v>566</v>
      </c>
    </row>
    <row r="504" spans="1:2">
      <c r="A504" t="s">
        <v>567</v>
      </c>
      <c r="B504" t="s">
        <v>567</v>
      </c>
    </row>
    <row r="505" spans="1:2">
      <c r="A505" t="s">
        <v>568</v>
      </c>
      <c r="B505" t="s">
        <v>568</v>
      </c>
    </row>
    <row r="506" spans="1:2">
      <c r="A506" t="s">
        <v>569</v>
      </c>
      <c r="B506" t="s">
        <v>569</v>
      </c>
    </row>
    <row r="507" spans="1:2">
      <c r="A507" t="s">
        <v>570</v>
      </c>
      <c r="B507" t="s">
        <v>570</v>
      </c>
    </row>
    <row r="508" spans="1:2">
      <c r="A508" t="s">
        <v>775</v>
      </c>
      <c r="B508" t="s">
        <v>571</v>
      </c>
    </row>
    <row r="509" spans="1:2">
      <c r="A509" t="s">
        <v>571</v>
      </c>
      <c r="B509" t="s">
        <v>571</v>
      </c>
    </row>
    <row r="510" spans="1:2">
      <c r="A510" t="s">
        <v>572</v>
      </c>
      <c r="B510" t="s">
        <v>572</v>
      </c>
    </row>
    <row r="511" spans="1:2">
      <c r="A511" t="s">
        <v>573</v>
      </c>
      <c r="B511" t="s">
        <v>573</v>
      </c>
    </row>
    <row r="512" spans="1:2">
      <c r="A512" t="s">
        <v>776</v>
      </c>
      <c r="B512" t="s">
        <v>574</v>
      </c>
    </row>
    <row r="513" spans="1:2">
      <c r="A513" t="s">
        <v>574</v>
      </c>
      <c r="B513" t="s">
        <v>574</v>
      </c>
    </row>
    <row r="514" spans="1:2">
      <c r="A514" t="s">
        <v>575</v>
      </c>
      <c r="B514" t="s">
        <v>575</v>
      </c>
    </row>
    <row r="515" spans="1:2">
      <c r="A515" t="s">
        <v>576</v>
      </c>
      <c r="B515" t="s">
        <v>576</v>
      </c>
    </row>
    <row r="516" spans="1:2">
      <c r="A516" t="s">
        <v>577</v>
      </c>
      <c r="B516" t="s">
        <v>577</v>
      </c>
    </row>
    <row r="517" spans="1:2">
      <c r="A517" t="s">
        <v>578</v>
      </c>
      <c r="B517" t="s">
        <v>578</v>
      </c>
    </row>
    <row r="518" spans="1:2">
      <c r="A518" t="s">
        <v>579</v>
      </c>
      <c r="B518" t="s">
        <v>579</v>
      </c>
    </row>
    <row r="519" spans="1:2">
      <c r="A519" t="s">
        <v>580</v>
      </c>
      <c r="B519" t="s">
        <v>580</v>
      </c>
    </row>
    <row r="520" spans="1:2">
      <c r="A520" t="s">
        <v>581</v>
      </c>
      <c r="B520" t="s">
        <v>581</v>
      </c>
    </row>
    <row r="521" spans="1:2">
      <c r="A521" t="s">
        <v>582</v>
      </c>
      <c r="B521" t="s">
        <v>582</v>
      </c>
    </row>
    <row r="522" spans="1:2">
      <c r="A522" t="s">
        <v>583</v>
      </c>
      <c r="B522" t="s">
        <v>583</v>
      </c>
    </row>
    <row r="523" spans="1:2">
      <c r="A523" t="s">
        <v>584</v>
      </c>
      <c r="B523" t="s">
        <v>584</v>
      </c>
    </row>
    <row r="524" spans="1:2">
      <c r="A524" t="s">
        <v>585</v>
      </c>
      <c r="B524" t="s">
        <v>585</v>
      </c>
    </row>
    <row r="525" spans="1:2">
      <c r="A525" t="s">
        <v>586</v>
      </c>
      <c r="B525" t="s">
        <v>586</v>
      </c>
    </row>
    <row r="526" spans="1:2">
      <c r="A526" t="s">
        <v>777</v>
      </c>
      <c r="B526" t="s">
        <v>587</v>
      </c>
    </row>
    <row r="527" spans="1:2">
      <c r="A527" t="s">
        <v>587</v>
      </c>
      <c r="B527" t="s">
        <v>587</v>
      </c>
    </row>
    <row r="528" spans="1:2">
      <c r="A528" t="s">
        <v>588</v>
      </c>
      <c r="B528" t="s">
        <v>588</v>
      </c>
    </row>
    <row r="529" spans="1:2">
      <c r="A529" t="s">
        <v>589</v>
      </c>
      <c r="B529" t="s">
        <v>589</v>
      </c>
    </row>
    <row r="530" spans="1:2">
      <c r="A530" t="s">
        <v>590</v>
      </c>
      <c r="B530" t="s">
        <v>590</v>
      </c>
    </row>
    <row r="531" spans="1:2">
      <c r="A531" t="s">
        <v>591</v>
      </c>
      <c r="B531" t="s">
        <v>591</v>
      </c>
    </row>
    <row r="532" spans="1:2">
      <c r="A532" t="s">
        <v>592</v>
      </c>
      <c r="B532" t="s">
        <v>592</v>
      </c>
    </row>
    <row r="533" spans="1:2">
      <c r="A533" t="s">
        <v>593</v>
      </c>
      <c r="B533" t="s">
        <v>593</v>
      </c>
    </row>
    <row r="534" spans="1:2">
      <c r="A534" t="s">
        <v>594</v>
      </c>
      <c r="B534" t="s">
        <v>594</v>
      </c>
    </row>
    <row r="535" spans="1:2">
      <c r="A535" t="s">
        <v>595</v>
      </c>
      <c r="B535" t="s">
        <v>595</v>
      </c>
    </row>
    <row r="536" spans="1:2">
      <c r="A536" t="s">
        <v>596</v>
      </c>
      <c r="B536" t="s">
        <v>596</v>
      </c>
    </row>
    <row r="537" spans="1:2">
      <c r="A537" t="s">
        <v>778</v>
      </c>
      <c r="B537" t="s">
        <v>597</v>
      </c>
    </row>
    <row r="538" spans="1:2">
      <c r="A538" t="s">
        <v>597</v>
      </c>
      <c r="B538" t="s">
        <v>597</v>
      </c>
    </row>
    <row r="539" spans="1:2">
      <c r="A539" t="s">
        <v>598</v>
      </c>
      <c r="B539" t="s">
        <v>598</v>
      </c>
    </row>
    <row r="540" spans="1:2">
      <c r="A540" t="s">
        <v>599</v>
      </c>
      <c r="B540" t="s">
        <v>599</v>
      </c>
    </row>
    <row r="541" spans="1:2">
      <c r="A541" t="s">
        <v>600</v>
      </c>
      <c r="B541" t="s">
        <v>600</v>
      </c>
    </row>
    <row r="542" spans="1:2">
      <c r="A542" t="s">
        <v>601</v>
      </c>
      <c r="B542" t="s">
        <v>601</v>
      </c>
    </row>
    <row r="543" spans="1:2">
      <c r="A543" t="s">
        <v>603</v>
      </c>
      <c r="B543" t="s">
        <v>603</v>
      </c>
    </row>
    <row r="544" spans="1:2">
      <c r="A544" t="s">
        <v>604</v>
      </c>
      <c r="B544" t="s">
        <v>604</v>
      </c>
    </row>
    <row r="545" spans="1:2">
      <c r="A545" t="s">
        <v>779</v>
      </c>
      <c r="B545" t="s">
        <v>605</v>
      </c>
    </row>
    <row r="546" spans="1:2">
      <c r="A546" t="s">
        <v>605</v>
      </c>
      <c r="B546" t="s">
        <v>605</v>
      </c>
    </row>
    <row r="547" spans="1:2">
      <c r="A547" t="s">
        <v>780</v>
      </c>
      <c r="B547" t="s">
        <v>605</v>
      </c>
    </row>
    <row r="548" spans="1:2">
      <c r="A548" t="s">
        <v>781</v>
      </c>
      <c r="B548" t="s">
        <v>605</v>
      </c>
    </row>
    <row r="549" spans="1:2">
      <c r="A549" t="s">
        <v>782</v>
      </c>
      <c r="B549" t="s">
        <v>118</v>
      </c>
    </row>
    <row r="550" spans="1:2">
      <c r="A550" t="s">
        <v>783</v>
      </c>
      <c r="B550" t="s">
        <v>606</v>
      </c>
    </row>
    <row r="551" spans="1:2">
      <c r="A551" t="s">
        <v>606</v>
      </c>
      <c r="B551" t="s">
        <v>606</v>
      </c>
    </row>
    <row r="552" spans="1:2">
      <c r="A552" t="s">
        <v>607</v>
      </c>
      <c r="B552" t="s">
        <v>607</v>
      </c>
    </row>
    <row r="553" spans="1:2">
      <c r="A553" t="s">
        <v>608</v>
      </c>
      <c r="B553" t="s">
        <v>608</v>
      </c>
    </row>
    <row r="554" spans="1:2">
      <c r="A554" t="s">
        <v>609</v>
      </c>
      <c r="B554" t="s">
        <v>609</v>
      </c>
    </row>
    <row r="555" spans="1:2">
      <c r="A555" t="s">
        <v>610</v>
      </c>
      <c r="B555" t="s">
        <v>610</v>
      </c>
    </row>
    <row r="556" spans="1:2">
      <c r="A556" t="s">
        <v>611</v>
      </c>
      <c r="B556" t="s">
        <v>611</v>
      </c>
    </row>
    <row r="557" spans="1:2">
      <c r="A557" t="s">
        <v>612</v>
      </c>
      <c r="B557" t="s">
        <v>612</v>
      </c>
    </row>
    <row r="558" spans="1:2">
      <c r="A558" t="s">
        <v>613</v>
      </c>
      <c r="B558" t="s">
        <v>613</v>
      </c>
    </row>
    <row r="559" spans="1:2">
      <c r="A559" t="s">
        <v>614</v>
      </c>
      <c r="B559" t="s">
        <v>614</v>
      </c>
    </row>
    <row r="560" spans="1:2">
      <c r="A560" t="s">
        <v>615</v>
      </c>
      <c r="B560" t="s">
        <v>615</v>
      </c>
    </row>
    <row r="561" spans="1:2">
      <c r="A561" t="s">
        <v>784</v>
      </c>
      <c r="B561" t="s">
        <v>615</v>
      </c>
    </row>
    <row r="562" spans="1:2">
      <c r="A562" t="s">
        <v>616</v>
      </c>
      <c r="B562" t="s">
        <v>616</v>
      </c>
    </row>
    <row r="563" spans="1:2">
      <c r="A563" t="s">
        <v>617</v>
      </c>
      <c r="B563" t="s">
        <v>617</v>
      </c>
    </row>
    <row r="564" spans="1:2">
      <c r="A564" t="s">
        <v>618</v>
      </c>
      <c r="B564" t="s">
        <v>618</v>
      </c>
    </row>
    <row r="565" spans="1:2">
      <c r="A565" t="s">
        <v>619</v>
      </c>
      <c r="B565" t="s">
        <v>619</v>
      </c>
    </row>
    <row r="566" spans="1:2">
      <c r="A566" t="s">
        <v>620</v>
      </c>
      <c r="B566" t="s">
        <v>620</v>
      </c>
    </row>
    <row r="567" spans="1:2">
      <c r="A567" t="s">
        <v>621</v>
      </c>
      <c r="B567" t="s">
        <v>621</v>
      </c>
    </row>
    <row r="568" spans="1:2">
      <c r="A568" t="s">
        <v>622</v>
      </c>
      <c r="B568" t="s">
        <v>622</v>
      </c>
    </row>
    <row r="569" spans="1:2">
      <c r="A569" t="s">
        <v>623</v>
      </c>
      <c r="B569" t="s">
        <v>623</v>
      </c>
    </row>
    <row r="570" spans="1:2">
      <c r="A570" t="s">
        <v>624</v>
      </c>
      <c r="B570" t="s">
        <v>624</v>
      </c>
    </row>
    <row r="571" spans="1:2">
      <c r="A571" t="s">
        <v>625</v>
      </c>
      <c r="B571" t="s">
        <v>625</v>
      </c>
    </row>
    <row r="572" spans="1:2">
      <c r="A572" t="s">
        <v>626</v>
      </c>
      <c r="B572" t="s">
        <v>626</v>
      </c>
    </row>
    <row r="573" spans="1:2">
      <c r="A573" t="s">
        <v>627</v>
      </c>
      <c r="B573" t="s">
        <v>627</v>
      </c>
    </row>
    <row r="574" spans="1:2">
      <c r="A574" t="s">
        <v>628</v>
      </c>
      <c r="B574" t="s">
        <v>628</v>
      </c>
    </row>
    <row r="575" spans="1:2">
      <c r="A575" t="s">
        <v>629</v>
      </c>
      <c r="B575" t="s">
        <v>629</v>
      </c>
    </row>
    <row r="576" spans="1:2">
      <c r="A576" t="s">
        <v>630</v>
      </c>
      <c r="B576" t="s">
        <v>630</v>
      </c>
    </row>
    <row r="577" spans="1:2">
      <c r="A577" t="s">
        <v>631</v>
      </c>
      <c r="B577" t="s">
        <v>631</v>
      </c>
    </row>
    <row r="578" spans="1:2">
      <c r="A578" t="s">
        <v>632</v>
      </c>
      <c r="B578" t="s">
        <v>632</v>
      </c>
    </row>
    <row r="579" spans="1:2">
      <c r="A579" t="s">
        <v>633</v>
      </c>
      <c r="B579" t="s">
        <v>633</v>
      </c>
    </row>
    <row r="580" spans="1:2">
      <c r="A580" t="s">
        <v>634</v>
      </c>
      <c r="B580" t="s">
        <v>634</v>
      </c>
    </row>
    <row r="581" spans="1:2">
      <c r="A581" t="s">
        <v>635</v>
      </c>
      <c r="B581" t="s">
        <v>635</v>
      </c>
    </row>
    <row r="582" spans="1:2">
      <c r="A582" t="s">
        <v>636</v>
      </c>
      <c r="B582" t="s">
        <v>636</v>
      </c>
    </row>
    <row r="583" spans="1:2">
      <c r="A583" t="s">
        <v>637</v>
      </c>
      <c r="B583" t="s">
        <v>637</v>
      </c>
    </row>
    <row r="584" spans="1:2">
      <c r="A584" t="s">
        <v>638</v>
      </c>
      <c r="B584" t="s">
        <v>638</v>
      </c>
    </row>
    <row r="585" spans="1:2">
      <c r="A585" t="s">
        <v>639</v>
      </c>
      <c r="B585" t="s">
        <v>639</v>
      </c>
    </row>
    <row r="586" spans="1:2">
      <c r="A586" t="s">
        <v>640</v>
      </c>
      <c r="B586" t="s">
        <v>640</v>
      </c>
    </row>
    <row r="587" spans="1:2">
      <c r="A587" t="s">
        <v>641</v>
      </c>
      <c r="B587" t="s">
        <v>641</v>
      </c>
    </row>
    <row r="588" spans="1:2">
      <c r="A588" t="s">
        <v>642</v>
      </c>
      <c r="B588" t="s">
        <v>642</v>
      </c>
    </row>
    <row r="589" spans="1:2">
      <c r="A589" t="s">
        <v>785</v>
      </c>
      <c r="B589" t="s">
        <v>643</v>
      </c>
    </row>
    <row r="590" spans="1:2">
      <c r="A590" t="s">
        <v>643</v>
      </c>
      <c r="B590" t="s">
        <v>643</v>
      </c>
    </row>
    <row r="591" spans="1:2">
      <c r="A591" t="s">
        <v>644</v>
      </c>
      <c r="B591" t="s">
        <v>644</v>
      </c>
    </row>
    <row r="592" spans="1:2">
      <c r="A592" t="s">
        <v>645</v>
      </c>
      <c r="B592" t="s">
        <v>645</v>
      </c>
    </row>
    <row r="593" spans="1:2">
      <c r="A593" t="s">
        <v>646</v>
      </c>
      <c r="B593" t="s">
        <v>646</v>
      </c>
    </row>
    <row r="594" spans="1:2">
      <c r="A594" t="s">
        <v>647</v>
      </c>
      <c r="B594" t="s">
        <v>647</v>
      </c>
    </row>
    <row r="595" spans="1:2">
      <c r="A595" t="s">
        <v>648</v>
      </c>
      <c r="B595" t="s">
        <v>648</v>
      </c>
    </row>
    <row r="596" spans="1:2">
      <c r="A596" t="s">
        <v>649</v>
      </c>
      <c r="B596" t="s">
        <v>649</v>
      </c>
    </row>
    <row r="597" spans="1:2">
      <c r="A597" t="s">
        <v>650</v>
      </c>
      <c r="B597" t="s">
        <v>650</v>
      </c>
    </row>
    <row r="598" spans="1:2">
      <c r="A598" t="s">
        <v>786</v>
      </c>
      <c r="B598" t="s">
        <v>383</v>
      </c>
    </row>
    <row r="599" spans="1:2">
      <c r="A599" t="s">
        <v>651</v>
      </c>
      <c r="B599" t="s">
        <v>651</v>
      </c>
    </row>
    <row r="600" spans="1:2">
      <c r="A600" t="s">
        <v>652</v>
      </c>
      <c r="B600" t="s">
        <v>652</v>
      </c>
    </row>
    <row r="601" spans="1:2">
      <c r="A601" t="s">
        <v>653</v>
      </c>
      <c r="B601" t="s">
        <v>653</v>
      </c>
    </row>
    <row r="602" spans="1:2">
      <c r="A602" t="s">
        <v>654</v>
      </c>
      <c r="B602" t="s">
        <v>654</v>
      </c>
    </row>
    <row r="603" spans="1:2">
      <c r="A603" t="s">
        <v>655</v>
      </c>
      <c r="B603" t="s">
        <v>655</v>
      </c>
    </row>
    <row r="604" spans="1:2">
      <c r="A604" t="s">
        <v>787</v>
      </c>
      <c r="B604" t="s">
        <v>656</v>
      </c>
    </row>
    <row r="605" spans="1:2">
      <c r="A605" t="s">
        <v>656</v>
      </c>
      <c r="B605" t="s">
        <v>656</v>
      </c>
    </row>
    <row r="606" spans="1:2">
      <c r="A606" t="s">
        <v>657</v>
      </c>
      <c r="B606" t="s">
        <v>657</v>
      </c>
    </row>
    <row r="607" spans="1:2">
      <c r="A607" t="s">
        <v>658</v>
      </c>
      <c r="B607" t="s">
        <v>658</v>
      </c>
    </row>
    <row r="608" spans="1:2">
      <c r="A608" t="s">
        <v>659</v>
      </c>
      <c r="B608" t="s">
        <v>659</v>
      </c>
    </row>
    <row r="609" spans="1:2">
      <c r="A609" t="s">
        <v>661</v>
      </c>
      <c r="B609" t="s">
        <v>661</v>
      </c>
    </row>
    <row r="610" spans="1:2">
      <c r="A610" t="s">
        <v>662</v>
      </c>
      <c r="B610" t="s">
        <v>662</v>
      </c>
    </row>
    <row r="611" spans="1:2">
      <c r="A611" t="s">
        <v>663</v>
      </c>
      <c r="B611" t="s">
        <v>663</v>
      </c>
    </row>
    <row r="612" spans="1:2">
      <c r="A612" t="s">
        <v>664</v>
      </c>
      <c r="B612" t="s">
        <v>664</v>
      </c>
    </row>
    <row r="613" spans="1:2">
      <c r="A613" t="s">
        <v>665</v>
      </c>
      <c r="B613" t="s">
        <v>665</v>
      </c>
    </row>
    <row r="614" spans="1:2">
      <c r="A614" t="s">
        <v>666</v>
      </c>
      <c r="B614" t="s">
        <v>666</v>
      </c>
    </row>
    <row r="615" spans="1:2">
      <c r="A615" t="s">
        <v>667</v>
      </c>
      <c r="B615" t="s">
        <v>667</v>
      </c>
    </row>
    <row r="616" spans="1:2">
      <c r="A616" t="s">
        <v>668</v>
      </c>
      <c r="B616" t="s">
        <v>668</v>
      </c>
    </row>
    <row r="617" spans="1:2">
      <c r="A617" t="s">
        <v>669</v>
      </c>
      <c r="B617" t="s">
        <v>669</v>
      </c>
    </row>
    <row r="618" spans="1:2">
      <c r="A618" t="s">
        <v>670</v>
      </c>
      <c r="B618" t="s">
        <v>670</v>
      </c>
    </row>
    <row r="619" spans="1:2">
      <c r="A619" t="s">
        <v>671</v>
      </c>
      <c r="B619" t="s">
        <v>671</v>
      </c>
    </row>
    <row r="620" spans="1:2">
      <c r="A620" t="s">
        <v>672</v>
      </c>
      <c r="B620" t="s">
        <v>672</v>
      </c>
    </row>
    <row r="621" spans="1:2">
      <c r="A621" t="s">
        <v>673</v>
      </c>
      <c r="B621" t="s">
        <v>673</v>
      </c>
    </row>
    <row r="622" spans="1:2">
      <c r="A622" t="s">
        <v>674</v>
      </c>
      <c r="B622" t="s">
        <v>674</v>
      </c>
    </row>
    <row r="623" spans="1:2">
      <c r="A623" t="s">
        <v>675</v>
      </c>
      <c r="B623" t="s">
        <v>675</v>
      </c>
    </row>
    <row r="624" spans="1:2">
      <c r="A624" t="s">
        <v>676</v>
      </c>
      <c r="B624" t="s">
        <v>676</v>
      </c>
    </row>
    <row r="625" spans="1:2">
      <c r="A625" t="s">
        <v>677</v>
      </c>
      <c r="B625" t="s">
        <v>677</v>
      </c>
    </row>
    <row r="626" spans="1:2">
      <c r="A626" t="s">
        <v>678</v>
      </c>
      <c r="B626" t="s">
        <v>678</v>
      </c>
    </row>
    <row r="627" spans="1:2">
      <c r="A627" t="s">
        <v>679</v>
      </c>
      <c r="B627" t="s">
        <v>679</v>
      </c>
    </row>
    <row r="628" spans="1:2">
      <c r="A628" t="s">
        <v>680</v>
      </c>
      <c r="B628" t="s">
        <v>680</v>
      </c>
    </row>
    <row r="629" spans="1:2">
      <c r="A629" t="s">
        <v>681</v>
      </c>
      <c r="B629" t="s">
        <v>681</v>
      </c>
    </row>
    <row r="630" spans="1:2">
      <c r="A630" t="s">
        <v>682</v>
      </c>
      <c r="B630" t="s">
        <v>682</v>
      </c>
    </row>
    <row r="631" spans="1:2">
      <c r="A631" t="s">
        <v>683</v>
      </c>
      <c r="B631" t="s">
        <v>683</v>
      </c>
    </row>
    <row r="632" spans="1:2">
      <c r="A632" t="s">
        <v>684</v>
      </c>
      <c r="B632" t="s">
        <v>684</v>
      </c>
    </row>
    <row r="633" spans="1:2">
      <c r="A633" t="s">
        <v>685</v>
      </c>
      <c r="B633" t="s">
        <v>685</v>
      </c>
    </row>
    <row r="634" spans="1:2">
      <c r="A634" t="s">
        <v>686</v>
      </c>
      <c r="B634" t="s">
        <v>686</v>
      </c>
    </row>
    <row r="635" spans="1:2">
      <c r="A635" t="s">
        <v>687</v>
      </c>
      <c r="B635" t="s">
        <v>687</v>
      </c>
    </row>
    <row r="636" spans="1:2">
      <c r="A636" t="s">
        <v>688</v>
      </c>
      <c r="B636" t="s">
        <v>688</v>
      </c>
    </row>
    <row r="637" spans="1:2">
      <c r="A637" t="s">
        <v>689</v>
      </c>
      <c r="B637" t="s">
        <v>689</v>
      </c>
    </row>
    <row r="638" spans="1:2">
      <c r="A638" t="s">
        <v>690</v>
      </c>
      <c r="B638" t="s">
        <v>690</v>
      </c>
    </row>
    <row r="639" spans="1:2">
      <c r="A639" t="s">
        <v>691</v>
      </c>
      <c r="B639" t="s">
        <v>691</v>
      </c>
    </row>
    <row r="640" spans="1:2">
      <c r="A640" t="s">
        <v>692</v>
      </c>
      <c r="B640" t="s">
        <v>692</v>
      </c>
    </row>
    <row r="641" spans="1:2">
      <c r="A641" t="s">
        <v>693</v>
      </c>
      <c r="B641" t="s">
        <v>693</v>
      </c>
    </row>
    <row r="642" spans="1:2">
      <c r="A642" t="s">
        <v>694</v>
      </c>
      <c r="B642" t="s">
        <v>694</v>
      </c>
    </row>
    <row r="643" spans="1:2">
      <c r="A643" t="s">
        <v>695</v>
      </c>
      <c r="B643" t="s">
        <v>695</v>
      </c>
    </row>
    <row r="644" spans="1:2">
      <c r="A644" t="s">
        <v>696</v>
      </c>
      <c r="B644" t="s">
        <v>696</v>
      </c>
    </row>
    <row r="645" spans="1:2">
      <c r="A645" t="s">
        <v>697</v>
      </c>
      <c r="B645" t="s">
        <v>697</v>
      </c>
    </row>
    <row r="646" spans="1:2">
      <c r="A646" t="s">
        <v>698</v>
      </c>
      <c r="B646" t="s">
        <v>698</v>
      </c>
    </row>
    <row r="647" spans="1:2">
      <c r="A647" t="s">
        <v>699</v>
      </c>
      <c r="B647" t="s">
        <v>699</v>
      </c>
    </row>
    <row r="648" spans="1:2">
      <c r="A648" t="s">
        <v>700</v>
      </c>
      <c r="B648" t="s">
        <v>700</v>
      </c>
    </row>
    <row r="649" spans="1:2">
      <c r="A649" t="s">
        <v>701</v>
      </c>
      <c r="B649" t="s">
        <v>701</v>
      </c>
    </row>
    <row r="650" spans="1:2">
      <c r="A650" t="s">
        <v>702</v>
      </c>
      <c r="B650" t="s">
        <v>702</v>
      </c>
    </row>
    <row r="651" spans="1:2">
      <c r="A651" t="s">
        <v>703</v>
      </c>
      <c r="B651" t="s">
        <v>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0"/>
  <sheetViews>
    <sheetView workbookViewId="0"/>
  </sheetViews>
  <sheetFormatPr defaultRowHeight="13.8"/>
  <cols>
    <col min="1" max="2" width="24" customWidth="1"/>
    <col min="3" max="3" width="20" customWidth="1"/>
    <col min="4" max="4" width="26" customWidth="1"/>
    <col min="5" max="6" width="18" customWidth="1"/>
    <col min="7" max="7" width="42" customWidth="1"/>
    <col min="8" max="8" width="32" customWidth="1"/>
    <col min="9" max="9" width="16" customWidth="1"/>
  </cols>
  <sheetData>
    <row r="1" spans="1:9" ht="17.399999999999999">
      <c r="A1" s="30" t="s">
        <v>788</v>
      </c>
      <c r="B1" s="30"/>
      <c r="C1" s="30"/>
      <c r="D1" s="30"/>
      <c r="E1" s="30"/>
      <c r="F1" s="30"/>
      <c r="G1" s="16"/>
      <c r="H1" s="16"/>
      <c r="I1" s="16"/>
    </row>
    <row r="2" spans="1:9" ht="69">
      <c r="A2" s="18" t="s">
        <v>789</v>
      </c>
      <c r="B2" s="18"/>
      <c r="C2" s="18"/>
      <c r="D2" s="18"/>
      <c r="E2" s="18"/>
      <c r="F2" s="18"/>
      <c r="G2" s="19"/>
      <c r="H2" s="19"/>
      <c r="I2" s="19"/>
    </row>
    <row r="3" spans="1:9">
      <c r="A3" s="3"/>
      <c r="B3" s="3"/>
      <c r="C3" s="3"/>
      <c r="D3" s="3"/>
      <c r="E3" s="3"/>
      <c r="F3" s="3"/>
      <c r="G3" s="3"/>
      <c r="H3" s="19"/>
      <c r="I3" s="19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12"/>
      <c r="B34" s="12"/>
      <c r="C34" s="12"/>
      <c r="D34" s="12"/>
      <c r="E34" s="12"/>
      <c r="F34" s="12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80" spans="1:9">
      <c r="A80" s="17"/>
    </row>
  </sheetData>
  <mergeCells count="1">
    <mergeCell ref="A1:F1"/>
  </mergeCells>
  <dataValidations count="5">
    <dataValidation type="list" sqref="C3:C32" xr:uid="{00000000-0002-0000-0400-000000000000}">
      <formula1>"Moderada,Alta,Major,Severe,Contraindicated"</formula1>
    </dataValidation>
    <dataValidation type="list" sqref="D3:D32" xr:uid="{00000000-0002-0000-0400-000001000000}">
      <formula1>"Micromedex,Lexi-Interact,Epocrates,Medscape,Drugs.com,Outra"</formula1>
    </dataValidation>
    <dataValidation type="list" sqref="C3:C31" xr:uid="{00000000-0002-0000-0400-000002000000}">
      <formula1>"Moderada,Grave,Alta,Major,Severe,Contraindicated,Leve,Sem interação relevante"</formula1>
    </dataValidation>
    <dataValidation type="list" sqref="D3:D77" xr:uid="{00000000-0002-0000-0400-000003000000}">
      <formula1>"DrugBank Non-Commercial XML,Micromedex,Lexi-Interact,Epocrates,Medscape,Drugs.com,Outra"</formula1>
    </dataValidation>
    <dataValidation type="list" sqref="C3:C77" xr:uid="{00000000-0002-0000-0400-000004000000}">
      <formula1>"nenhuma/leve,moderada,grave,alta,major,severe,contraindicated"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0"/>
  <sheetViews>
    <sheetView workbookViewId="0"/>
  </sheetViews>
  <sheetFormatPr defaultRowHeight="13.8"/>
  <cols>
    <col min="1" max="1" width="20" customWidth="1"/>
    <col min="2" max="2" width="36" customWidth="1"/>
    <col min="3" max="3" width="14" customWidth="1"/>
    <col min="4" max="4" width="34" customWidth="1"/>
    <col min="5" max="5" width="50" customWidth="1"/>
  </cols>
  <sheetData>
    <row r="1" spans="1:6" ht="14.4">
      <c r="A1" s="31" t="s">
        <v>790</v>
      </c>
      <c r="B1" s="31" t="s">
        <v>791</v>
      </c>
      <c r="C1" s="31" t="s">
        <v>728</v>
      </c>
      <c r="D1" s="31" t="s">
        <v>792</v>
      </c>
      <c r="E1" s="31" t="s">
        <v>39</v>
      </c>
      <c r="F1" s="13"/>
    </row>
    <row r="2" spans="1:6" ht="27.6">
      <c r="A2" s="14" t="s">
        <v>793</v>
      </c>
      <c r="B2" s="14" t="s">
        <v>794</v>
      </c>
      <c r="C2" s="14" t="s">
        <v>67</v>
      </c>
      <c r="D2" s="14" t="s">
        <v>795</v>
      </c>
      <c r="E2" s="14" t="s">
        <v>796</v>
      </c>
    </row>
    <row r="3" spans="1:6" ht="27.6">
      <c r="A3" s="7" t="s">
        <v>793</v>
      </c>
      <c r="B3" s="7" t="s">
        <v>797</v>
      </c>
      <c r="C3" s="7" t="s">
        <v>71</v>
      </c>
      <c r="D3" s="7" t="s">
        <v>795</v>
      </c>
      <c r="E3" s="7" t="s">
        <v>798</v>
      </c>
    </row>
    <row r="4" spans="1:6" ht="27.6">
      <c r="A4" s="3" t="s">
        <v>799</v>
      </c>
      <c r="B4" s="3" t="s">
        <v>717</v>
      </c>
      <c r="C4" s="3" t="s">
        <v>800</v>
      </c>
      <c r="D4" s="3" t="s">
        <v>801</v>
      </c>
      <c r="E4" s="3" t="s">
        <v>802</v>
      </c>
    </row>
    <row r="5" spans="1:6" ht="27.6">
      <c r="A5" s="3" t="s">
        <v>799</v>
      </c>
      <c r="B5" s="3" t="s">
        <v>720</v>
      </c>
      <c r="C5" s="3" t="s">
        <v>803</v>
      </c>
      <c r="D5" s="3" t="s">
        <v>801</v>
      </c>
      <c r="E5" s="3" t="s">
        <v>804</v>
      </c>
    </row>
    <row r="6" spans="1:6" ht="27.6">
      <c r="A6" s="3" t="s">
        <v>799</v>
      </c>
      <c r="B6" s="3" t="s">
        <v>722</v>
      </c>
      <c r="C6" s="3" t="s">
        <v>805</v>
      </c>
      <c r="D6" s="3" t="s">
        <v>801</v>
      </c>
      <c r="E6" s="3" t="s">
        <v>804</v>
      </c>
    </row>
    <row r="7" spans="1:6" ht="27.6">
      <c r="A7" s="3" t="s">
        <v>32</v>
      </c>
      <c r="B7" s="3" t="s">
        <v>806</v>
      </c>
      <c r="C7" s="3" t="s">
        <v>807</v>
      </c>
      <c r="D7" s="3" t="s">
        <v>808</v>
      </c>
      <c r="E7" s="3" t="s">
        <v>809</v>
      </c>
    </row>
    <row r="8" spans="1:6">
      <c r="A8" s="3" t="s">
        <v>810</v>
      </c>
      <c r="B8" s="3" t="s">
        <v>811</v>
      </c>
      <c r="C8" s="3" t="s">
        <v>812</v>
      </c>
      <c r="D8" s="3" t="s">
        <v>795</v>
      </c>
      <c r="E8" s="3" t="s">
        <v>813</v>
      </c>
    </row>
    <row r="9" spans="1:6">
      <c r="A9" s="3"/>
      <c r="B9" s="3"/>
      <c r="C9" s="3"/>
      <c r="D9" s="3"/>
      <c r="E9" s="3"/>
    </row>
    <row r="10" spans="1:6">
      <c r="A10" s="3"/>
      <c r="B10" s="3"/>
      <c r="C10" s="3"/>
      <c r="D10" s="3"/>
      <c r="E10" s="3"/>
    </row>
    <row r="11" spans="1:6">
      <c r="A11" s="3"/>
      <c r="B11" s="3"/>
      <c r="C11" s="3"/>
      <c r="D11" s="3"/>
      <c r="E11" s="3"/>
    </row>
    <row r="12" spans="1:6">
      <c r="A12" s="3"/>
      <c r="B12" s="3"/>
      <c r="C12" s="3"/>
      <c r="D12" s="3"/>
      <c r="E12" s="3"/>
    </row>
    <row r="13" spans="1:6">
      <c r="A13" s="3"/>
      <c r="B13" s="3"/>
      <c r="C13" s="3"/>
      <c r="D13" s="3"/>
      <c r="E13" s="3"/>
    </row>
    <row r="14" spans="1:6">
      <c r="A14" s="3"/>
      <c r="B14" s="3"/>
      <c r="C14" s="3"/>
      <c r="D14" s="3"/>
      <c r="E14" s="3"/>
    </row>
    <row r="15" spans="1:6">
      <c r="A15" s="3"/>
      <c r="B15" s="3"/>
      <c r="C15" s="3"/>
      <c r="D15" s="3"/>
      <c r="E15" s="3"/>
    </row>
    <row r="16" spans="1:6">
      <c r="A16" s="3"/>
      <c r="B16" s="3"/>
      <c r="C16" s="3"/>
      <c r="D16" s="3"/>
      <c r="E16" s="3"/>
    </row>
    <row r="17" spans="1:5">
      <c r="A17" s="3"/>
      <c r="B17" s="3"/>
      <c r="C17" s="3"/>
      <c r="D17" s="3"/>
      <c r="E17" s="3"/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A25" s="3"/>
      <c r="B25" s="3"/>
      <c r="C25" s="3"/>
      <c r="D25" s="3"/>
      <c r="E25" s="3"/>
    </row>
    <row r="26" spans="1:5">
      <c r="A26" s="3"/>
      <c r="B26" s="3"/>
      <c r="C26" s="3"/>
      <c r="D26" s="3"/>
      <c r="E26" s="3"/>
    </row>
    <row r="27" spans="1:5">
      <c r="A27" s="3"/>
      <c r="B27" s="3"/>
      <c r="C27" s="3"/>
      <c r="D27" s="3"/>
      <c r="E27" s="3"/>
    </row>
    <row r="28" spans="1:5">
      <c r="A28" s="3"/>
      <c r="B28" s="3"/>
      <c r="C28" s="3"/>
      <c r="D28" s="3"/>
      <c r="E28" s="3"/>
    </row>
    <row r="29" spans="1:5">
      <c r="A29" s="3"/>
      <c r="B29" s="3"/>
      <c r="C29" s="3"/>
      <c r="D29" s="3"/>
      <c r="E29" s="3"/>
    </row>
    <row r="30" spans="1:5">
      <c r="A30" s="3"/>
      <c r="B30" s="3"/>
      <c r="C30" s="3"/>
      <c r="D30" s="3"/>
      <c r="E30" s="3"/>
    </row>
    <row r="31" spans="1:5">
      <c r="A31" s="3"/>
      <c r="B31" s="3"/>
      <c r="C31" s="3"/>
      <c r="D31" s="3"/>
      <c r="E31" s="3"/>
    </row>
    <row r="32" spans="1:5">
      <c r="A32" s="3"/>
      <c r="B32" s="3"/>
      <c r="C32" s="3"/>
      <c r="D32" s="3"/>
      <c r="E32" s="3"/>
    </row>
    <row r="33" spans="1:5">
      <c r="A33" s="3"/>
      <c r="B33" s="3"/>
      <c r="C33" s="3"/>
      <c r="D33" s="3"/>
      <c r="E33" s="3"/>
    </row>
    <row r="34" spans="1:5">
      <c r="A34" s="3"/>
      <c r="B34" s="3"/>
      <c r="C34" s="3"/>
      <c r="D34" s="3"/>
      <c r="E34" s="3"/>
    </row>
    <row r="35" spans="1:5">
      <c r="A35" s="3"/>
      <c r="B35" s="3"/>
      <c r="C35" s="3"/>
      <c r="D35" s="3"/>
      <c r="E35" s="3"/>
    </row>
    <row r="36" spans="1:5">
      <c r="A36" s="3"/>
      <c r="B36" s="3"/>
      <c r="C36" s="3"/>
      <c r="D36" s="3"/>
      <c r="E36" s="3"/>
    </row>
    <row r="37" spans="1:5">
      <c r="A37" s="3"/>
      <c r="B37" s="3"/>
      <c r="C37" s="3"/>
      <c r="D37" s="3"/>
      <c r="E37" s="3"/>
    </row>
    <row r="38" spans="1:5">
      <c r="A38" s="3"/>
      <c r="B38" s="3"/>
      <c r="C38" s="3"/>
      <c r="D38" s="3"/>
      <c r="E38" s="3"/>
    </row>
    <row r="39" spans="1:5">
      <c r="A39" s="3"/>
      <c r="B39" s="3"/>
      <c r="C39" s="3"/>
      <c r="D39" s="3"/>
      <c r="E39" s="3"/>
    </row>
    <row r="40" spans="1:5">
      <c r="A40" s="3"/>
      <c r="B40" s="3"/>
      <c r="C40" s="3"/>
      <c r="D40" s="3"/>
      <c r="E40" s="3"/>
    </row>
    <row r="41" spans="1:5">
      <c r="A41" s="3"/>
      <c r="B41" s="3"/>
      <c r="C41" s="3"/>
      <c r="D41" s="3"/>
      <c r="E41" s="3"/>
    </row>
    <row r="42" spans="1:5">
      <c r="A42" s="3"/>
      <c r="B42" s="3"/>
      <c r="C42" s="3"/>
      <c r="D42" s="3"/>
      <c r="E42" s="3"/>
    </row>
    <row r="43" spans="1:5">
      <c r="A43" s="3"/>
      <c r="B43" s="3"/>
      <c r="C43" s="3"/>
      <c r="D43" s="3"/>
      <c r="E43" s="3"/>
    </row>
    <row r="44" spans="1:5">
      <c r="A44" s="3"/>
      <c r="B44" s="3"/>
      <c r="C44" s="3"/>
      <c r="D44" s="3"/>
      <c r="E44" s="3"/>
    </row>
    <row r="45" spans="1:5">
      <c r="A45" s="3"/>
      <c r="B45" s="3"/>
      <c r="C45" s="3"/>
      <c r="D45" s="3"/>
      <c r="E45" s="3"/>
    </row>
    <row r="46" spans="1:5">
      <c r="A46" s="3"/>
      <c r="B46" s="3"/>
      <c r="C46" s="3"/>
      <c r="D46" s="3"/>
      <c r="E46" s="3"/>
    </row>
    <row r="47" spans="1:5">
      <c r="A47" s="3"/>
      <c r="B47" s="3"/>
      <c r="C47" s="3"/>
      <c r="D47" s="3"/>
      <c r="E47" s="3"/>
    </row>
    <row r="48" spans="1:5">
      <c r="A48" s="3"/>
      <c r="B48" s="3"/>
      <c r="C48" s="3"/>
      <c r="D48" s="3"/>
      <c r="E48" s="3"/>
    </row>
    <row r="49" spans="1:5">
      <c r="A49" s="3"/>
      <c r="B49" s="3"/>
      <c r="C49" s="3"/>
      <c r="D49" s="3"/>
      <c r="E49" s="3"/>
    </row>
    <row r="50" spans="1:5">
      <c r="A50" s="3"/>
      <c r="B50" s="3"/>
      <c r="C50" s="3"/>
      <c r="D50" s="3"/>
      <c r="E50" s="3"/>
    </row>
    <row r="51" spans="1:5">
      <c r="A51" s="3"/>
      <c r="B51" s="3"/>
      <c r="C51" s="3"/>
      <c r="D51" s="3"/>
      <c r="E51" s="3"/>
    </row>
    <row r="52" spans="1:5">
      <c r="A52" s="3"/>
      <c r="B52" s="3"/>
      <c r="C52" s="3"/>
      <c r="D52" s="3"/>
      <c r="E52" s="3"/>
    </row>
    <row r="53" spans="1:5">
      <c r="A53" s="3"/>
      <c r="B53" s="3"/>
      <c r="C53" s="3"/>
      <c r="D53" s="3"/>
      <c r="E53" s="3"/>
    </row>
    <row r="54" spans="1:5">
      <c r="A54" s="3"/>
      <c r="B54" s="3"/>
      <c r="C54" s="3"/>
      <c r="D54" s="3"/>
      <c r="E54" s="3"/>
    </row>
    <row r="55" spans="1:5">
      <c r="A55" s="3"/>
      <c r="B55" s="3"/>
      <c r="C55" s="3"/>
      <c r="D55" s="3"/>
      <c r="E55" s="3"/>
    </row>
    <row r="56" spans="1:5">
      <c r="A56" s="3"/>
      <c r="B56" s="3"/>
      <c r="C56" s="3"/>
      <c r="D56" s="3"/>
      <c r="E56" s="3"/>
    </row>
    <row r="57" spans="1:5">
      <c r="A57" s="3"/>
      <c r="B57" s="3"/>
      <c r="C57" s="3"/>
      <c r="D57" s="3"/>
      <c r="E57" s="3"/>
    </row>
    <row r="58" spans="1:5">
      <c r="A58" s="3"/>
      <c r="B58" s="3"/>
      <c r="C58" s="3"/>
      <c r="D58" s="3"/>
      <c r="E58" s="3"/>
    </row>
    <row r="59" spans="1:5">
      <c r="A59" s="3"/>
      <c r="B59" s="3"/>
      <c r="C59" s="3"/>
      <c r="D59" s="3"/>
      <c r="E59" s="3"/>
    </row>
    <row r="60" spans="1:5">
      <c r="A60" s="3"/>
      <c r="B60" s="3"/>
      <c r="C60" s="3"/>
      <c r="D60" s="3"/>
      <c r="E60" s="3"/>
    </row>
    <row r="61" spans="1:5">
      <c r="A61" s="3"/>
      <c r="B61" s="3"/>
      <c r="C61" s="3"/>
      <c r="D61" s="3"/>
      <c r="E61" s="3"/>
    </row>
    <row r="62" spans="1:5">
      <c r="A62" s="3"/>
      <c r="B62" s="3"/>
      <c r="C62" s="3"/>
      <c r="D62" s="3"/>
      <c r="E62" s="3"/>
    </row>
    <row r="63" spans="1:5">
      <c r="A63" s="3"/>
      <c r="B63" s="3"/>
      <c r="C63" s="3"/>
      <c r="D63" s="3"/>
      <c r="E63" s="3"/>
    </row>
    <row r="64" spans="1:5">
      <c r="A64" s="3"/>
      <c r="B64" s="3"/>
      <c r="C64" s="3"/>
      <c r="D64" s="3"/>
      <c r="E64" s="3"/>
    </row>
    <row r="65" spans="1:5">
      <c r="A65" s="3"/>
      <c r="B65" s="3"/>
      <c r="C65" s="3"/>
      <c r="D65" s="3"/>
      <c r="E65" s="3"/>
    </row>
    <row r="66" spans="1:5">
      <c r="A66" s="3"/>
      <c r="B66" s="3"/>
      <c r="C66" s="3"/>
      <c r="D66" s="3"/>
      <c r="E66" s="3"/>
    </row>
    <row r="67" spans="1:5">
      <c r="A67" s="3"/>
      <c r="B67" s="3"/>
      <c r="C67" s="3"/>
      <c r="D67" s="3"/>
      <c r="E67" s="3"/>
    </row>
    <row r="68" spans="1:5">
      <c r="A68" s="3"/>
      <c r="B68" s="3"/>
      <c r="C68" s="3"/>
      <c r="D68" s="3"/>
      <c r="E68" s="3"/>
    </row>
    <row r="69" spans="1:5">
      <c r="A69" s="3"/>
      <c r="B69" s="3"/>
      <c r="C69" s="3"/>
      <c r="D69" s="3"/>
      <c r="E69" s="3"/>
    </row>
    <row r="70" spans="1:5">
      <c r="A70" s="3"/>
      <c r="B70" s="3"/>
      <c r="C70" s="3"/>
      <c r="D70" s="3"/>
      <c r="E70" s="3"/>
    </row>
    <row r="71" spans="1:5">
      <c r="A71" s="3"/>
      <c r="B71" s="3"/>
      <c r="C71" s="3"/>
      <c r="D71" s="3"/>
      <c r="E71" s="3"/>
    </row>
    <row r="72" spans="1:5">
      <c r="A72" s="3"/>
      <c r="B72" s="3"/>
      <c r="C72" s="3"/>
      <c r="D72" s="3"/>
      <c r="E72" s="3"/>
    </row>
    <row r="73" spans="1:5">
      <c r="A73" s="3"/>
      <c r="B73" s="3"/>
      <c r="C73" s="3"/>
      <c r="D73" s="3"/>
      <c r="E73" s="3"/>
    </row>
    <row r="74" spans="1:5">
      <c r="A74" s="3"/>
      <c r="B74" s="3"/>
      <c r="C74" s="3"/>
      <c r="D74" s="3"/>
      <c r="E74" s="3"/>
    </row>
    <row r="75" spans="1:5">
      <c r="A75" s="3"/>
      <c r="B75" s="3"/>
      <c r="C75" s="3"/>
      <c r="D75" s="3"/>
      <c r="E75" s="3"/>
    </row>
    <row r="76" spans="1:5">
      <c r="A76" s="3"/>
      <c r="B76" s="3"/>
      <c r="C76" s="3"/>
      <c r="D76" s="3"/>
      <c r="E76" s="3"/>
    </row>
    <row r="77" spans="1:5">
      <c r="A77" s="3"/>
      <c r="B77" s="3"/>
      <c r="C77" s="3"/>
      <c r="D77" s="3"/>
      <c r="E77" s="3"/>
    </row>
    <row r="78" spans="1:5">
      <c r="A78" s="3"/>
      <c r="B78" s="3"/>
      <c r="C78" s="3"/>
      <c r="D78" s="3"/>
      <c r="E78" s="3"/>
    </row>
    <row r="79" spans="1:5">
      <c r="A79" s="3"/>
      <c r="B79" s="3"/>
      <c r="C79" s="3"/>
      <c r="D79" s="3"/>
      <c r="E79" s="3"/>
    </row>
    <row r="80" spans="1:5">
      <c r="A80" s="3"/>
      <c r="B80" s="3"/>
      <c r="C80" s="3"/>
      <c r="D80" s="3"/>
      <c r="E80" s="3"/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"/>
  <sheetViews>
    <sheetView tabSelected="1" workbookViewId="0">
      <selection activeCell="D5" sqref="D5"/>
    </sheetView>
  </sheetViews>
  <sheetFormatPr defaultRowHeight="13.8"/>
  <cols>
    <col min="1" max="2" width="25" customWidth="1"/>
    <col min="3" max="4" width="12" customWidth="1"/>
    <col min="5" max="6" width="18" customWidth="1"/>
    <col min="7" max="8" width="15" customWidth="1"/>
    <col min="9" max="9" width="14" customWidth="1"/>
    <col min="10" max="10" width="16" customWidth="1"/>
    <col min="11" max="11" width="36" customWidth="1"/>
  </cols>
  <sheetData>
    <row r="1" spans="1:11" ht="17.399999999999999">
      <c r="A1" s="32" t="s">
        <v>814</v>
      </c>
      <c r="B1" s="32"/>
      <c r="C1" s="32"/>
      <c r="D1" s="32"/>
      <c r="E1" s="32"/>
      <c r="F1" s="32"/>
      <c r="G1" s="32"/>
      <c r="H1" s="32"/>
      <c r="I1" s="32"/>
      <c r="J1" s="32"/>
      <c r="K1" s="32"/>
    </row>
    <row r="2" spans="1:11">
      <c r="B2" s="5" t="s">
        <v>815</v>
      </c>
      <c r="C2" s="5" t="s">
        <v>816</v>
      </c>
      <c r="D2" s="5" t="s">
        <v>32</v>
      </c>
      <c r="E2" s="5" t="s">
        <v>33</v>
      </c>
      <c r="F2" s="5" t="s">
        <v>34</v>
      </c>
      <c r="G2" s="5" t="s">
        <v>817</v>
      </c>
      <c r="H2" s="5" t="s">
        <v>818</v>
      </c>
      <c r="I2" s="5" t="s">
        <v>37</v>
      </c>
      <c r="J2" s="5" t="s">
        <v>819</v>
      </c>
      <c r="K2" s="5" t="s">
        <v>39</v>
      </c>
    </row>
    <row r="3" spans="1:11">
      <c r="A3" t="s">
        <v>820</v>
      </c>
      <c r="B3" t="str">
        <f>IF(A3="","",IFERROR(VLOOKUP(LOWER(TRIM(A3)),Alias_Map!$A$2:$B$651,2,FALSE),LOWER(TRIM(A3))))</f>
        <v>amitriptyline</v>
      </c>
      <c r="C3" t="str">
        <f>IF(A3="","",IF(ISERROR(VLOOKUP(B3,Base_Fixa!$A$2:$I$600,1,FALSE)),"Não","Sim"))</f>
        <v>Sim</v>
      </c>
      <c r="D3">
        <f>IF(A3="","",IF(C3&lt;&gt;"Sim",0,VLOOKUP(B3,Base_Fixa!$A$2:$I$600,3,FALSE)))</f>
        <v>1</v>
      </c>
      <c r="E3" t="str">
        <f>IF(A3="","",IF(C3&lt;&gt;"Sim","",VLOOKUP(B3,Base_Fixa!$A$2:$I$600,5,FALSE)))</f>
        <v>High</v>
      </c>
      <c r="F3" t="str">
        <f>IF(A3="","",IF(C3&lt;&gt;"Sim","",VLOOKUP(B3,Base_Fixa!$A$2:$I$600,7,FALSE)))</f>
        <v>High</v>
      </c>
      <c r="G3">
        <f>IF(A3="","",IF(C3&lt;&gt;"Sim",0,VLOOKUP(B3,Base_Fixa!$A$2:$I$600,8,FALSE)))</f>
        <v>3</v>
      </c>
      <c r="H3">
        <f>IF(A3="","",IF(COUNTIF($B$3:B3,B3)=1,G3,0))</f>
        <v>3</v>
      </c>
      <c r="I3">
        <f>IF(A3="","",IF(AND(D3=1,G3=0,COUNTIFS($B$3:B3,B3,$D$3:D3,1,$G$3:G3,0)=1),Parameters!$B$8,0))</f>
        <v>0</v>
      </c>
      <c r="J3">
        <f t="shared" ref="J3:J8" si="0">IF(A3="","",H3+I3)</f>
        <v>3</v>
      </c>
      <c r="K3" t="str">
        <f t="shared" ref="K3:K8" si="1">IF(A3="","",IF(C3&lt;&gt;"Sim","Revisar",IF(J3=0,"Sem contribuição/dúplicata",IF(I3&gt;0,"PIM adicional","Afinidade AC/sedativa"))))</f>
        <v>Afinidade AC/sedativa</v>
      </c>
    </row>
    <row r="4" spans="1:11">
      <c r="A4" t="s">
        <v>407</v>
      </c>
      <c r="B4" t="str">
        <f>IF(A4="","",IFERROR(VLOOKUP(LOWER(TRIM(A4)),Alias_Map!$A$2:$B$651,2,FALSE),LOWER(TRIM(A4))))</f>
        <v>losartan</v>
      </c>
      <c r="C4" t="str">
        <f>IF(A4="","",IF(ISERROR(VLOOKUP(B4,Base_Fixa!$A$2:$I$600,1,FALSE)),"Não","Sim"))</f>
        <v>Sim</v>
      </c>
      <c r="D4">
        <f>IF(A4="","",IF(C4&lt;&gt;"Sim",0,VLOOKUP(B4,Base_Fixa!$A$2:$I$600,3,FALSE)))</f>
        <v>0</v>
      </c>
      <c r="E4" t="str">
        <f>IF(A4="","",IF(C4&lt;&gt;"Sim","",VLOOKUP(B4,Base_Fixa!$A$2:$I$600,5,FALSE)))</f>
        <v>No</v>
      </c>
      <c r="F4" t="str">
        <f>IF(A4="","",IF(C4&lt;&gt;"Sim","",VLOOKUP(B4,Base_Fixa!$A$2:$I$600,7,FALSE)))</f>
        <v>Low</v>
      </c>
      <c r="G4">
        <f>IF(A4="","",IF(C4&lt;&gt;"Sim",0,VLOOKUP(B4,Base_Fixa!$A$2:$I$600,8,FALSE)))</f>
        <v>1</v>
      </c>
      <c r="H4">
        <f>IF(A4="","",IF(COUNTIF($B$3:B4,B4)=1,G4,0))</f>
        <v>1</v>
      </c>
      <c r="I4">
        <f>IF(A4="","",IF(AND(D4=1,G4=0,COUNTIFS($B$3:B4,B4,$D$3:D4,1,$G$3:G4,0)=1),Parameters!$B$8,0))</f>
        <v>0</v>
      </c>
      <c r="J4">
        <f t="shared" si="0"/>
        <v>1</v>
      </c>
      <c r="K4" t="str">
        <f t="shared" si="1"/>
        <v>Afinidade AC/sedativa</v>
      </c>
    </row>
    <row r="5" spans="1:11">
      <c r="A5" t="s">
        <v>431</v>
      </c>
      <c r="B5" t="str">
        <f>IF(A5="","",IFERROR(VLOOKUP(LOWER(TRIM(A5)),Alias_Map!$A$2:$B$651,2,FALSE),LOWER(TRIM(A5))))</f>
        <v>metformin</v>
      </c>
      <c r="C5" t="str">
        <f>IF(A5="","",IF(ISERROR(VLOOKUP(B5,Base_Fixa!$A$2:$I$600,1,FALSE)),"Não","Sim"))</f>
        <v>Sim</v>
      </c>
      <c r="D5">
        <f>IF(A5="","",IF(C5&lt;&gt;"Sim",0,VLOOKUP(B5,Base_Fixa!$A$2:$I$600,3,FALSE)))</f>
        <v>0</v>
      </c>
      <c r="E5" t="str">
        <f>IF(A5="","",IF(C5&lt;&gt;"Sim","",VLOOKUP(B5,Base_Fixa!$A$2:$I$600,5,FALSE)))</f>
        <v>No</v>
      </c>
      <c r="F5" t="str">
        <f>IF(A5="","",IF(C5&lt;&gt;"Sim","",VLOOKUP(B5,Base_Fixa!$A$2:$I$600,7,FALSE)))</f>
        <v>No</v>
      </c>
      <c r="G5">
        <f>IF(A5="","",IF(C5&lt;&gt;"Sim",0,VLOOKUP(B5,Base_Fixa!$A$2:$I$600,8,FALSE)))</f>
        <v>0</v>
      </c>
      <c r="H5">
        <f>IF(A5="","",IF(COUNTIF($B$3:B5,B5)=1,G5,0))</f>
        <v>0</v>
      </c>
      <c r="I5">
        <f>IF(A5="","",IF(AND(D5=1,G5=0,COUNTIFS($B$3:B5,B5,$D$3:D5,1,$G$3:G5,0)=1),Parameters!$B$8,0))</f>
        <v>0</v>
      </c>
      <c r="J5">
        <f t="shared" si="0"/>
        <v>0</v>
      </c>
      <c r="K5" t="str">
        <f t="shared" si="1"/>
        <v>Sem contribuição/dúplicata</v>
      </c>
    </row>
    <row r="6" spans="1:11">
      <c r="A6" t="s">
        <v>406</v>
      </c>
      <c r="B6" t="str">
        <f>IF(A6="","",IFERROR(VLOOKUP(LOWER(TRIM(A6)),Alias_Map!$A$2:$B$651,2,FALSE),LOWER(TRIM(A6))))</f>
        <v>lorazepam</v>
      </c>
      <c r="C6" t="str">
        <f>IF(A6="","",IF(ISERROR(VLOOKUP(B6,Base_Fixa!$A$2:$I$600,1,FALSE)),"Não","Sim"))</f>
        <v>Sim</v>
      </c>
      <c r="D6">
        <f>IF(A6="","",IF(C6&lt;&gt;"Sim",0,VLOOKUP(B6,Base_Fixa!$A$2:$I$600,3,FALSE)))</f>
        <v>1</v>
      </c>
      <c r="E6" t="str">
        <f>IF(A6="","",IF(C6&lt;&gt;"Sim","",VLOOKUP(B6,Base_Fixa!$A$2:$I$600,5,FALSE)))</f>
        <v>Low</v>
      </c>
      <c r="F6" t="str">
        <f>IF(A6="","",IF(C6&lt;&gt;"Sim","",VLOOKUP(B6,Base_Fixa!$A$2:$I$600,7,FALSE)))</f>
        <v>High</v>
      </c>
      <c r="G6">
        <f>IF(A6="","",IF(C6&lt;&gt;"Sim",0,VLOOKUP(B6,Base_Fixa!$A$2:$I$600,8,FALSE)))</f>
        <v>3</v>
      </c>
      <c r="H6">
        <f>IF(A6="","",IF(COUNTIF($B$3:B6,B6)=1,G6,0))</f>
        <v>3</v>
      </c>
      <c r="I6">
        <f>IF(A6="","",IF(AND(D6=1,G6=0,COUNTIFS($B$3:B6,B6,$D$3:D6,1,$G$3:G6,0)=1),Parameters!$B$8,0))</f>
        <v>0</v>
      </c>
      <c r="J6">
        <f t="shared" si="0"/>
        <v>3</v>
      </c>
      <c r="K6" t="str">
        <f t="shared" si="1"/>
        <v>Afinidade AC/sedativa</v>
      </c>
    </row>
    <row r="7" spans="1:11">
      <c r="A7" t="s">
        <v>111</v>
      </c>
      <c r="B7" t="str">
        <f>IF(A7="","",IFERROR(VLOOKUP(LOWER(TRIM(A7)),Alias_Map!$A$2:$B$651,2,FALSE),LOWER(TRIM(A7))))</f>
        <v>atorvastatin</v>
      </c>
      <c r="C7" t="str">
        <f>IF(A7="","",IF(ISERROR(VLOOKUP(B7,Base_Fixa!$A$2:$I$600,1,FALSE)),"Não","Sim"))</f>
        <v>Sim</v>
      </c>
      <c r="D7">
        <f>IF(A7="","",IF(C7&lt;&gt;"Sim",0,VLOOKUP(B7,Base_Fixa!$A$2:$I$600,3,FALSE)))</f>
        <v>0</v>
      </c>
      <c r="E7" t="str">
        <f>IF(A7="","",IF(C7&lt;&gt;"Sim","",VLOOKUP(B7,Base_Fixa!$A$2:$I$600,5,FALSE)))</f>
        <v>No</v>
      </c>
      <c r="F7" t="str">
        <f>IF(A7="","",IF(C7&lt;&gt;"Sim","",VLOOKUP(B7,Base_Fixa!$A$2:$I$600,7,FALSE)))</f>
        <v>Low</v>
      </c>
      <c r="G7">
        <f>IF(A7="","",IF(C7&lt;&gt;"Sim",0,VLOOKUP(B7,Base_Fixa!$A$2:$I$600,8,FALSE)))</f>
        <v>1</v>
      </c>
      <c r="H7">
        <f>IF(A7="","",IF(COUNTIF($B$3:B7,B7)=1,G7,0))</f>
        <v>1</v>
      </c>
      <c r="I7">
        <f>IF(A7="","",IF(AND(D7=1,G7=0,COUNTIFS($B$3:B7,B7,$D$3:D7,1,$G$3:G7,0)=1),Parameters!$B$8,0))</f>
        <v>0</v>
      </c>
      <c r="J7">
        <f t="shared" si="0"/>
        <v>1</v>
      </c>
      <c r="K7" t="str">
        <f t="shared" si="1"/>
        <v>Afinidade AC/sedativa</v>
      </c>
    </row>
    <row r="8" spans="1:11">
      <c r="A8" t="s">
        <v>514</v>
      </c>
      <c r="B8" t="str">
        <f>IF(A8="","",IFERROR(VLOOKUP(LOWER(TRIM(A8)),Alias_Map!$A$2:$B$651,2,FALSE),LOWER(TRIM(A8))))</f>
        <v>paroxetine</v>
      </c>
      <c r="C8" t="str">
        <f>IF(A8="","",IF(ISERROR(VLOOKUP(B8,Base_Fixa!$A$2:$I$600,1,FALSE)),"Não","Sim"))</f>
        <v>Sim</v>
      </c>
      <c r="D8">
        <f>IF(A8="","",IF(C8&lt;&gt;"Sim",0,VLOOKUP(B8,Base_Fixa!$A$2:$I$600,3,FALSE)))</f>
        <v>1</v>
      </c>
      <c r="E8" t="str">
        <f>IF(A8="","",IF(C8&lt;&gt;"Sim","",VLOOKUP(B8,Base_Fixa!$A$2:$I$600,5,FALSE)))</f>
        <v>Moderate</v>
      </c>
      <c r="F8" t="str">
        <f>IF(A8="","",IF(C8&lt;&gt;"Sim","",VLOOKUP(B8,Base_Fixa!$A$2:$I$600,7,FALSE)))</f>
        <v>Moderate</v>
      </c>
      <c r="G8">
        <f>IF(A8="","",IF(C8&lt;&gt;"Sim",0,VLOOKUP(B8,Base_Fixa!$A$2:$I$600,8,FALSE)))</f>
        <v>2</v>
      </c>
      <c r="H8">
        <f>IF(A8="","",IF(COUNTIF($B$3:B8,B8)=1,G8,0))</f>
        <v>2</v>
      </c>
      <c r="I8">
        <f>IF(A8="","",IF(AND(D8=1,G8=0,COUNTIFS($B$3:B8,B8,$D$3:D8,1,$G$3:G8,0)=1),Parameters!$B$8,0))</f>
        <v>0</v>
      </c>
      <c r="J8">
        <f t="shared" si="0"/>
        <v>2</v>
      </c>
      <c r="K8" t="str">
        <f t="shared" si="1"/>
        <v>Afinidade AC/sedativa</v>
      </c>
    </row>
    <row r="10" spans="1:11">
      <c r="A10" s="9" t="s">
        <v>16</v>
      </c>
      <c r="B10" s="9">
        <f>COUNTIF(A3:A27,"?*")</f>
        <v>12</v>
      </c>
    </row>
    <row r="11" spans="1:11">
      <c r="A11" t="s">
        <v>793</v>
      </c>
      <c r="B11">
        <f>IF(B10&gt;=11,1,IF(B10&gt;=5,0.5,0))</f>
        <v>1</v>
      </c>
    </row>
    <row r="12" spans="1:11">
      <c r="A12" t="s">
        <v>821</v>
      </c>
      <c r="B12">
        <f>SUM(H3:H8)</f>
        <v>10</v>
      </c>
    </row>
    <row r="13" spans="1:11">
      <c r="A13" t="s">
        <v>37</v>
      </c>
      <c r="B13">
        <f>SUM(I3:I8)</f>
        <v>0</v>
      </c>
    </row>
    <row r="14" spans="1:11">
      <c r="A14" t="s">
        <v>822</v>
      </c>
      <c r="B14">
        <f>SUM(B11:B13)</f>
        <v>11</v>
      </c>
    </row>
    <row r="15" spans="1:11">
      <c r="A15" t="s">
        <v>39</v>
      </c>
      <c r="B15" t="s">
        <v>823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Calculadora_FPRS</vt:lpstr>
      <vt:lpstr>Base_Fixa</vt:lpstr>
      <vt:lpstr>Parameters</vt:lpstr>
      <vt:lpstr>Alias_Map</vt:lpstr>
      <vt:lpstr>Interacoes_desconsiderada</vt:lpstr>
      <vt:lpstr>Regras_e_Referencias</vt:lpstr>
      <vt:lpstr>Exemplo_teste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Active</dc:creator>
  <cp:lastModifiedBy>Ruben Siedlarczyk Nogueira</cp:lastModifiedBy>
  <dcterms:created xsi:type="dcterms:W3CDTF">2026-06-01T16:28:04Z</dcterms:created>
  <dcterms:modified xsi:type="dcterms:W3CDTF">2026-06-01T16:28:04Z</dcterms:modified>
</cp:coreProperties>
</file>